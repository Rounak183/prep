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pply Queue" sheetId="2" state="visible" r:id="rId4"/>
    <sheet name="Spain — Top Brands" sheetId="3" state="visible" r:id="rId5"/>
    <sheet name="Target Companies" sheetId="4" state="visible" r:id="rId6"/>
    <sheet name="Outreach Log" sheetId="5" state="visible" r:id="rId7"/>
    <sheet name="Strategy" sheetId="6" state="visible" r:id="rId8"/>
    <sheet name="Immigration &amp; Sources" sheetId="7" state="visible" r:id="rId9"/>
  </sheets>
  <definedNames>
    <definedName function="false" hidden="true" localSheetId="1" name="_xlnm._FilterDatabase" vbProcedure="false">'Apply Queue'!$A$1:$Q$140</definedName>
    <definedName function="false" hidden="true" localSheetId="4" name="_xlnm._FilterDatabase" vbProcedure="false">'Outreach Log'!$A$1:$N$220</definedName>
    <definedName function="false" hidden="true" localSheetId="3" name="_xlnm._FilterDatabase" vbProcedure="false">'Target Companies'!$A$1:$I$111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<sst xmlns="http://schemas.openxmlformats.org/spreadsheetml/2006/main" count="3112" uniqueCount="1133">
  <si>
    <t xml:space="preserve">Rounak Saraf — Job Search Tracker</t>
  </si>
  <si>
    <t xml:space="preserve">Rebuilt 28 Aug 2026 after the comp/immigration correction. Working floor is now ~£120k total comp in London (break-even is ~£78k gross); £150k+ is the frontier-lab and elite-quant outcome. Spain-remote is DE-PRIORITISED: it needs a separate teletrabajo permit and likely breaks the Gipuzkoa art. 56 bis 30% exemption. Wave 1 = elite brand + comp clears. See STRATEGY_RESET.md.</t>
  </si>
  <si>
    <t xml:space="preserve">HOW TO USE THIS</t>
  </si>
  <si>
    <t xml:space="preserve">1.</t>
  </si>
  <si>
    <t xml:space="preserve">Work 'Apply Queue' top to bottom. It is sorted by expected value, not alphabetically. Wave 1 = this week.</t>
  </si>
  <si>
    <t xml:space="preserve">2.</t>
  </si>
  <si>
    <t xml:space="preserve">For each row: open the Apply URL, use the resume named in the 'Resume' column, then set Status.</t>
  </si>
  <si>
    <t xml:space="preserve">3.</t>
  </si>
  <si>
    <t xml:space="preserve">Log every recruiter / referral message in 'Outreach Log' the same day you send it.</t>
  </si>
  <si>
    <t xml:space="preserve">4.</t>
  </si>
  <si>
    <t xml:space="preserve">'Target Companies' holds all 110 companies with a re-ranked tier and the careers URL / ATS token to re-scan.</t>
  </si>
  <si>
    <t xml:space="preserve">STATUS VALUES (pick from the dropdown)</t>
  </si>
  <si>
    <t xml:space="preserve">Not started / Applied / Referral requested / Recruiter screen / Tech screen / Onsite / Offer / Rejected / Closed</t>
  </si>
  <si>
    <t xml:space="preserve">COLOUR KEY</t>
  </si>
  <si>
    <t xml:space="preserve">Wave 1</t>
  </si>
  <si>
    <t xml:space="preserve">Apply this week — best expected value: explicit sponsorship, right level, strong story match.</t>
  </si>
  <si>
    <t xml:space="preserve">Wave 2</t>
  </si>
  <si>
    <t xml:space="preserve">Apply next — strong fit, sponsorship unstated (silence is not refusal).</t>
  </si>
  <si>
    <t xml:space="preserve">Wave 3</t>
  </si>
  <si>
    <t xml:space="preserve">Selective — stretch seniority, wrong geography, or below your comp baseline.</t>
  </si>
  <si>
    <t xml:space="preserve">THE THREE BIGGEST FINDINGS</t>
  </si>
  <si>
    <t xml:space="preserve">Grafana Labs posts a SPAIN-REMOTE TWIN of every UK req. You can join from San Sebastián with zero immigration process. Same for Datadog (Madrid option), Celonis Madrid, Elastic Spain, Hugging Face EMEA-remote, ElevenLabs remote-global.</t>
  </si>
  <si>
    <t xml:space="preserve">Only four employers state affirmative sponsorship in writing: Monzo ('We can sponsor visas' + relocation), G-Research ('all relocation and immigration costs covered'), Anthropic ('We do sponsor visas'), Flow Traders. Barclays publishes a formal declaration process. Everyone else is silent — which is not a refusal, just an unknown.</t>
  </si>
  <si>
    <t xml:space="preserve">Wiz explicitly bars sponsorship on both London reqs. Cohere's only London posting says verbatim 'This is not a live role'. Cloudflare, Snowflake, Netflix, Apple and Checkout.com have zero matching London engineering reqs open. That is 6 companies off your list.</t>
  </si>
  <si>
    <t xml:space="preserve">PROGRESS</t>
  </si>
  <si>
    <t xml:space="preserve">Roles in queue</t>
  </si>
  <si>
    <t xml:space="preserve">Applied</t>
  </si>
  <si>
    <t xml:space="preserve">Referral requested</t>
  </si>
  <si>
    <t xml:space="preserve">In process (screen or later)</t>
  </si>
  <si>
    <t xml:space="preserve">Offers</t>
  </si>
  <si>
    <t xml:space="preserve">Outreach messages sent</t>
  </si>
  <si>
    <t xml:space="preserve">Wave</t>
  </si>
  <si>
    <t xml:space="preserve">Company</t>
  </si>
  <si>
    <t xml:space="preserve">Role</t>
  </si>
  <si>
    <t xml:space="preserve">Location</t>
  </si>
  <si>
    <t xml:space="preserve">Brand tier</t>
  </si>
  <si>
    <t xml:space="preserve">Comp vs your bar</t>
  </si>
  <si>
    <t xml:space="preserve">Posting freshness</t>
  </si>
  <si>
    <t xml:space="preserve">Sponsorship signal</t>
  </si>
  <si>
    <t xml:space="preserve">Fit</t>
  </si>
  <si>
    <t xml:space="preserve">Resume to use</t>
  </si>
  <si>
    <t xml:space="preserve">Apply URL</t>
  </si>
  <si>
    <t xml:space="preserve">ATS</t>
  </si>
  <si>
    <t xml:space="preserve">Req ID</t>
  </si>
  <si>
    <t xml:space="preserve">Status</t>
  </si>
  <si>
    <t xml:space="preserve">Date applied</t>
  </si>
  <si>
    <t xml:space="preserve">Referral contact</t>
  </si>
  <si>
    <t xml:space="preserve">Notes</t>
  </si>
  <si>
    <t xml:space="preserve">Anthropic</t>
  </si>
  <si>
    <t xml:space="preserve">Senior Staff+ SWE, Node Infra</t>
  </si>
  <si>
    <t xml:space="preserve">London</t>
  </si>
  <si>
    <t xml:space="preserve">Elite — frontier lab</t>
  </si>
  <si>
    <t xml:space="preserve">Clears £150k: posted London base band £225–325k</t>
  </si>
  <si>
    <t xml:space="preserve">Date not obtained — check first_published before applying</t>
  </si>
  <si>
    <t xml:space="preserve">EXPLICIT sponsorship</t>
  </si>
  <si>
    <t xml:space="preserve">Med (seniority gap)</t>
  </si>
  <si>
    <t xml:space="preserve">Backend/Infra</t>
  </si>
  <si>
    <t xml:space="preserve">Apply</t>
  </si>
  <si>
    <t xml:space="preserve">Greenhouse</t>
  </si>
  <si>
    <t xml:space="preserve">5211498008</t>
  </si>
  <si>
    <t xml:space="preserve">Not started</t>
  </si>
  <si>
    <t xml:space="preserve">Staff SWE, Infrastructure (Distributed Systems)</t>
  </si>
  <si>
    <t xml:space="preserve">High (Staff bar)</t>
  </si>
  <si>
    <t xml:space="preserve">5387083008</t>
  </si>
  <si>
    <t xml:space="preserve">Staff Software Engineer, Continuous Integration</t>
  </si>
  <si>
    <t xml:space="preserve">unknown — check first_published — first published not obtained</t>
  </si>
  <si>
    <t xml:space="preserve">EXPLICIT: 'We do sponsor visas' + retained immigration lawyer</t>
  </si>
  <si>
    <t xml:space="preserve">AI Agent Platforms &amp; Dev Tooling</t>
  </si>
  <si>
    <t xml:space="preserve">5073998008</t>
  </si>
  <si>
    <t xml:space="preserve">CI runtime -65% + 500+ automated tests is the exact story. Staff = stretch, apply anyway.</t>
  </si>
  <si>
    <t xml:space="preserve">Staff Software Engineer, Kubernetes Platform</t>
  </si>
  <si>
    <t xml:space="preserve">5211305008</t>
  </si>
  <si>
    <t xml:space="preserve">EKS/Helm/ArgoCD match.</t>
  </si>
  <si>
    <t xml:space="preserve">Staff+ SWE, Platform Connectivity</t>
  </si>
  <si>
    <t xml:space="preserve">London / SF</t>
  </si>
  <si>
    <t xml:space="preserve">Med (Staff+)</t>
  </si>
  <si>
    <t xml:space="preserve">5394948008</t>
  </si>
  <si>
    <t xml:space="preserve">Staff+ SWE, Safeguards Infrastructure</t>
  </si>
  <si>
    <t xml:space="preserve">Med</t>
  </si>
  <si>
    <t xml:space="preserve">5074908008</t>
  </si>
  <si>
    <t xml:space="preserve">Citadel</t>
  </si>
  <si>
    <t xml:space="preserve">Site Reliability Engineer</t>
  </si>
  <si>
    <t xml:space="preserve">London / HK / NY / Singapore</t>
  </si>
  <si>
    <t xml:space="preserve">Elite — top quant</t>
  </si>
  <si>
    <t xml:space="preserve">Clears £150k: London SWE £138–476k, L3 £172–289k</t>
  </si>
  <si>
    <t xml:space="preserve">EVERGREEN — continuous hiring; posting age not meaningful</t>
  </si>
  <si>
    <t xml:space="preserve">Not stated</t>
  </si>
  <si>
    <t xml:space="preserve">High</t>
  </si>
  <si>
    <t xml:space="preserve">Citadel own</t>
  </si>
  <si>
    <t xml:space="preserve">100+ services at 99.99% is the pitch.</t>
  </si>
  <si>
    <t xml:space="preserve">Software Engineer</t>
  </si>
  <si>
    <t xml:space="preserve">London / NY / Greenwich / Houston / Singapore</t>
  </si>
  <si>
    <t xml:space="preserve">Generalist, no seniority label.</t>
  </si>
  <si>
    <t xml:space="preserve">Google DeepMind</t>
  </si>
  <si>
    <t xml:space="preserve">Senior Staff SWE, Agentic Data Tooling</t>
  </si>
  <si>
    <t xml:space="preserve">London / NY / Mountain View</t>
  </si>
  <si>
    <t xml:space="preserve">Likely clears £150k (unverified for London)</t>
  </si>
  <si>
    <t xml:space="preserve">Not stated; min 8 yrs</t>
  </si>
  <si>
    <t xml:space="preserve">Med (YOE gap)</t>
  </si>
  <si>
    <t xml:space="preserve">Google internal</t>
  </si>
  <si>
    <t xml:space="preserve">133344999289823942</t>
  </si>
  <si>
    <t xml:space="preserve">Perfect domain, big seniority gap.</t>
  </si>
  <si>
    <t xml:space="preserve">Hudson River Trading</t>
  </si>
  <si>
    <t xml:space="preserve">Data Production Engineer</t>
  </si>
  <si>
    <t xml:space="preserve">London / NY / Singapore</t>
  </si>
  <si>
    <t xml:space="preserve">Clears £150k (global SWE $446–723k; London tracks NY)</t>
  </si>
  <si>
    <t xml:space="preserve">Backend/Infra (data slant)</t>
  </si>
  <si>
    <t xml:space="preserve">8060295</t>
  </si>
  <si>
    <t xml:space="preserve">PySpark/Airflow/Druid story.</t>
  </si>
  <si>
    <t xml:space="preserve">Fullstack Developer</t>
  </si>
  <si>
    <t xml:space="preserve">London / Chicago / NY</t>
  </si>
  <si>
    <t xml:space="preserve">AI/Fullstack</t>
  </si>
  <si>
    <t xml:space="preserve">7462541</t>
  </si>
  <si>
    <t xml:space="preserve">Software Engineer – C++</t>
  </si>
  <si>
    <t xml:space="preserve">London / US</t>
  </si>
  <si>
    <t xml:space="preserve">Med-High</t>
  </si>
  <si>
    <t xml:space="preserve">7392942</t>
  </si>
  <si>
    <t xml:space="preserve">Software Engineer – Distributed Compute</t>
  </si>
  <si>
    <t xml:space="preserve">London / New York</t>
  </si>
  <si>
    <t xml:space="preserve">6703954</t>
  </si>
  <si>
    <t xml:space="preserve">Software Engineer – Python</t>
  </si>
  <si>
    <t xml:space="preserve">7398013</t>
  </si>
  <si>
    <t xml:space="preserve">Jane Street</t>
  </si>
  <si>
    <t xml:space="preserve">Linux Engineer</t>
  </si>
  <si>
    <t xml:space="preserve">Clears £150k in year one (grad y1 reported £250–400k)</t>
  </si>
  <si>
    <t xml:space="preserve">Jane Street own</t>
  </si>
  <si>
    <t xml:space="preserve">5372886002</t>
  </si>
  <si>
    <t xml:space="preserve">Not stated; always hiring</t>
  </si>
  <si>
    <t xml:space="preserve">4274814002</t>
  </si>
  <si>
    <t xml:space="preserve">700+ LeetCode is exactly their screen. OCaml not required.</t>
  </si>
  <si>
    <t xml:space="preserve">OpenAI</t>
  </si>
  <si>
    <t xml:space="preserve">Forward Deployed Software Engineer</t>
  </si>
  <si>
    <t xml:space="preserve">Very likely clears £150k (London ~70-85% of US bands; unverified)</t>
  </si>
  <si>
    <t xml:space="preserve">Relocation assistance offered; asks 7+ yrs</t>
  </si>
  <si>
    <t xml:space="preserve">High (stretch)</t>
  </si>
  <si>
    <t xml:space="preserve">Custom → Ashby</t>
  </si>
  <si>
    <t xml:space="preserve">3 days/wk office, up to 50% travel.</t>
  </si>
  <si>
    <t xml:space="preserve">Software Engineer, ChatGPT Infrastructure</t>
  </si>
  <si>
    <t xml:space="preserve">Software Engineer, Cloud Infrastructure</t>
  </si>
  <si>
    <t xml:space="preserve">Software Engineer, GPU Infrastructure – ChatGPT Eng</t>
  </si>
  <si>
    <t xml:space="preserve">Not stated; 5+ yrs prod infra</t>
  </si>
  <si>
    <t xml:space="preserve">Software Engineer, Infrastructure Reliability</t>
  </si>
  <si>
    <t xml:space="preserve">Not stated; $255–405K posted</t>
  </si>
  <si>
    <t xml:space="preserve">Software Engineer, Platform Systems</t>
  </si>
  <si>
    <t xml:space="preserve">ML-training observability.</t>
  </si>
  <si>
    <t xml:space="preserve">Two Sigma</t>
  </si>
  <si>
    <t xml:space="preserve">Software Engineer – London</t>
  </si>
  <si>
    <t xml:space="preserve">London £145–241k; clears at L3, borderline at L1/L2</t>
  </si>
  <si>
    <t xml:space="preserve">Two Sigma own</t>
  </si>
  <si>
    <t xml:space="preserve">13902</t>
  </si>
  <si>
    <t xml:space="preserve">Amazon / AWS</t>
  </si>
  <si>
    <t xml:space="preserve">Senior SDE, AWS CloudFront</t>
  </si>
  <si>
    <t xml:space="preserve">Elite logo</t>
  </si>
  <si>
    <t xml:space="preserve">SDE II £111–149k / Senior SDE £148–200k — need SDE III</t>
  </si>
  <si>
    <t xml:space="preserve">Not stated; Amazon UK routinely sponsors</t>
  </si>
  <si>
    <t xml:space="preserve">amazon.jobs</t>
  </si>
  <si>
    <t xml:space="preserve">10406451</t>
  </si>
  <si>
    <t xml:space="preserve">Senior SDE, Data Center Builder Tools</t>
  </si>
  <si>
    <t xml:space="preserve">10487676</t>
  </si>
  <si>
    <t xml:space="preserve">Anysphere (Cursor)</t>
  </si>
  <si>
    <t xml:space="preserve">Forward Deployed Engineer – EMEA</t>
  </si>
  <si>
    <t xml:space="preserve">Elite — AI dev tools</t>
  </si>
  <si>
    <t xml:space="preserve">London roles are FDE/GTM only; core SWE is SF/NY</t>
  </si>
  <si>
    <t xml:space="preserve">UNVERIFIED — job page robots-blocked</t>
  </si>
  <si>
    <t xml:space="preserve">Very High</t>
  </si>
  <si>
    <t xml:space="preserve">Custom</t>
  </si>
  <si>
    <t xml:space="preserve">Check manually in browser. Codegen + FDE = ideal fit.</t>
  </si>
  <si>
    <t xml:space="preserve">Solutions Architect – Western Europe</t>
  </si>
  <si>
    <t xml:space="preserve">UNVERIFIED — robots-blocked</t>
  </si>
  <si>
    <t xml:space="preserve">DRW</t>
  </si>
  <si>
    <t xml:space="preserve">AI Engineer</t>
  </si>
  <si>
    <t xml:space="preserve">Strong — quant</t>
  </si>
  <si>
    <t xml:space="preserve">No London data; peer set suggests clears floor</t>
  </si>
  <si>
    <t xml:space="preserve">Backend/Infra + LLM</t>
  </si>
  <si>
    <t xml:space="preserve">6586048</t>
  </si>
  <si>
    <t xml:space="preserve">Cloud Performance Engineer</t>
  </si>
  <si>
    <t xml:space="preserve">8126077</t>
  </si>
  <si>
    <t xml:space="preserve">DevOps Engineer</t>
  </si>
  <si>
    <t xml:space="preserve">7918653</t>
  </si>
  <si>
    <t xml:space="preserve">Developer Experience Engineer</t>
  </si>
  <si>
    <t xml:space="preserve">Backend/Infra (devtools slant)</t>
  </si>
  <si>
    <t xml:space="preserve">8103440</t>
  </si>
  <si>
    <t xml:space="preserve">Third devtools shot after G-Research and Tower.</t>
  </si>
  <si>
    <t xml:space="preserve">Python Software Engineer, Trading Platform</t>
  </si>
  <si>
    <t xml:space="preserve">7534910</t>
  </si>
  <si>
    <t xml:space="preserve">Senior SWE, Unified Platform – Digital Assets</t>
  </si>
  <si>
    <t xml:space="preserve">8096176</t>
  </si>
  <si>
    <t xml:space="preserve">Senior SWE, Unified Platform – Trade Management</t>
  </si>
  <si>
    <t xml:space="preserve">7942731</t>
  </si>
  <si>
    <t xml:space="preserve">Databricks</t>
  </si>
  <si>
    <t xml:space="preserve">AI Engineer – Forward Deployed (RAG, multi-agent)</t>
  </si>
  <si>
    <t xml:space="preserve">Amsterdam</t>
  </si>
  <si>
    <t xml:space="preserve">Strong logo</t>
  </si>
  <si>
    <t xml:space="preserve">No London data; US L4 $300–524k suggests £160–250k (inferred)</t>
  </si>
  <si>
    <t xml:space="preserve">2 days — FRESH (Amsterdam) — first published 2026-08-26</t>
  </si>
  <si>
    <t xml:space="preserve">8747605002</t>
  </si>
  <si>
    <t xml:space="preserve">RAG platform story lands directly.</t>
  </si>
  <si>
    <t xml:space="preserve">Delivery Solutions Architect</t>
  </si>
  <si>
    <t xml:space="preserve">8549681002</t>
  </si>
  <si>
    <t xml:space="preserve">ElevenLabs</t>
  </si>
  <si>
    <t xml:space="preserve">Full-Stack Engineer</t>
  </si>
  <si>
    <t xml:space="preserve">UK / remote-global</t>
  </si>
  <si>
    <t xml:space="preserve">Strong — AI startup</t>
  </si>
  <si>
    <t xml:space="preserve">London £100–191k; remote is locally benchmarked</t>
  </si>
  <si>
    <t xml:space="preserve">721 days — evergreen pipeline req — first published 2024-09-06</t>
  </si>
  <si>
    <t xml:space="preserve">Remote-global</t>
  </si>
  <si>
    <t xml:space="preserve">Ashby</t>
  </si>
  <si>
    <t xml:space="preserve">Full-Stack Engineer (Back-End Leaning)</t>
  </si>
  <si>
    <t xml:space="preserve">550 days — evergreen pipeline req — first published 2025-02-24</t>
  </si>
  <si>
    <t xml:space="preserve">Remote-global = start from Spain</t>
  </si>
  <si>
    <t xml:space="preserve">No immediate visa dependency.</t>
  </si>
  <si>
    <t xml:space="preserve">Full-Stack Engineer (Front-End Leaning)</t>
  </si>
  <si>
    <t xml:space="preserve">Figma</t>
  </si>
  <si>
    <t xml:space="preserve">Software Engineer, AI Product (Dev Mode / agentic coding)</t>
  </si>
  <si>
    <t xml:space="preserve">No London data; likely £150–230k (inferred)</t>
  </si>
  <si>
    <t xml:space="preserve">452 days — STALE, verify before applying — first published 2025-06-02</t>
  </si>
  <si>
    <t xml:space="preserve">Not stated; 3+ yrs, React/TS</t>
  </si>
  <si>
    <t xml:space="preserve">5551697004</t>
  </si>
  <si>
    <t xml:space="preserve">Level is right, agentic-coding domain is right.</t>
  </si>
  <si>
    <t xml:space="preserve">Software Engineer, Production Engineering</t>
  </si>
  <si>
    <t xml:space="preserve">206 days — STALE — first published 2026-02-03</t>
  </si>
  <si>
    <t xml:space="preserve">Not stated; 5+ yrs infra at scale</t>
  </si>
  <si>
    <t xml:space="preserve">5781928004</t>
  </si>
  <si>
    <t xml:space="preserve">G-Research</t>
  </si>
  <si>
    <t xml:space="preserve">Analytics Services Platform Engineer</t>
  </si>
  <si>
    <t xml:space="preserve">London £73–189k; median ~£130-150k, top of band needed for £150k</t>
  </si>
  <si>
    <t xml:space="preserve">EXPLICIT: immigration costs covered</t>
  </si>
  <si>
    <t xml:space="preserve">Workday</t>
  </si>
  <si>
    <t xml:space="preserve">R3409</t>
  </si>
  <si>
    <t xml:space="preserve">Druid/ClickHouse.</t>
  </si>
  <si>
    <t xml:space="preserve">Core Infrastructure Engineer</t>
  </si>
  <si>
    <t xml:space="preserve">R3698</t>
  </si>
  <si>
    <t xml:space="preserve">Data Software Engineer</t>
  </si>
  <si>
    <t xml:space="preserve">R3714</t>
  </si>
  <si>
    <t xml:space="preserve">PySpark/Airflow/Druid.</t>
  </si>
  <si>
    <t xml:space="preserve">Database Platform Engineer</t>
  </si>
  <si>
    <t xml:space="preserve">R3385-1</t>
  </si>
  <si>
    <t xml:space="preserve">Kubernetes Platform Engineer</t>
  </si>
  <si>
    <t xml:space="preserve">R3516</t>
  </si>
  <si>
    <t xml:space="preserve">100+ services on EKS at 99.99% maps 1:1.</t>
  </si>
  <si>
    <t xml:space="preserve">Kubernetes Software Engineer</t>
  </si>
  <si>
    <t xml:space="preserve">R3272-1</t>
  </si>
  <si>
    <t xml:space="preserve">Observability Engineer</t>
  </si>
  <si>
    <t xml:space="preserve">R3387</t>
  </si>
  <si>
    <t xml:space="preserve">Prometheus/Grafana/OTel.</t>
  </si>
  <si>
    <t xml:space="preserve">Software Engineer – Engineering Tools</t>
  </si>
  <si>
    <t xml:space="preserve">EXPLICIT: 'All relocation and immigration costs covered'</t>
  </si>
  <si>
    <t xml:space="preserve">R2489</t>
  </si>
  <si>
    <t xml:space="preserve">Template Agents / 200-engineer devtools story IS this job description.</t>
  </si>
  <si>
    <t xml:space="preserve">Google</t>
  </si>
  <si>
    <t xml:space="preserve">SWE III, GenAI Data Operations Research, XR</t>
  </si>
  <si>
    <t xml:space="preserve">L4 £120–200k / L5 £171–290k — LEVELLING FIGHT, need L5</t>
  </si>
  <si>
    <t xml:space="preserve">115718127626396358</t>
  </si>
  <si>
    <t xml:space="preserve">Senior Forward Deployed Engineer, Cloud Public Sector</t>
  </si>
  <si>
    <t xml:space="preserve">May need UK security clearance</t>
  </si>
  <si>
    <t xml:space="preserve">117041926741336774</t>
  </si>
  <si>
    <t xml:space="preserve">Senior Software Engineer, Full Stack</t>
  </si>
  <si>
    <t xml:space="preserve">Zürich</t>
  </si>
  <si>
    <t xml:space="preserve">138255046704800454</t>
  </si>
  <si>
    <t xml:space="preserve">Software Engineer II, Infrastructure, Google Ads</t>
  </si>
  <si>
    <t xml:space="preserve">89198715161161798</t>
  </si>
  <si>
    <t xml:space="preserve">Software Engineer III, Cloud Security</t>
  </si>
  <si>
    <t xml:space="preserve">124969231094555334</t>
  </si>
  <si>
    <t xml:space="preserve">Software Engineer, Site Reliability Engineering</t>
  </si>
  <si>
    <t xml:space="preserve">Not stated; min 2 yrs</t>
  </si>
  <si>
    <t xml:space="preserve">115044758895633094</t>
  </si>
  <si>
    <t xml:space="preserve">Jump Trading</t>
  </si>
  <si>
    <t xml:space="preserve">DevOps / High Performance Trading System Engineer</t>
  </si>
  <si>
    <t xml:space="preserve">London £98–226k; clears at upper band</t>
  </si>
  <si>
    <t xml:space="preserve">Firm hiring an in-house Immigration Partner — strong sponsor signal</t>
  </si>
  <si>
    <t xml:space="preserve">6004172</t>
  </si>
  <si>
    <t xml:space="preserve">HPC Operations Engineer</t>
  </si>
  <si>
    <t xml:space="preserve">Sponsor signal (in-house immigration hire)</t>
  </si>
  <si>
    <t xml:space="preserve">7405132</t>
  </si>
  <si>
    <t xml:space="preserve">NVIDIA</t>
  </si>
  <si>
    <t xml:space="preserve">Senior SWE, Developer Experience</t>
  </si>
  <si>
    <t xml:space="preserve">Location not shown — verify</t>
  </si>
  <si>
    <t xml:space="preserve">No London/Zurich band found</t>
  </si>
  <si>
    <t xml:space="preserve">High if EU</t>
  </si>
  <si>
    <t xml:space="preserve">JR2023498</t>
  </si>
  <si>
    <t xml:space="preserve">VERIFY LOCATION before applying.</t>
  </si>
  <si>
    <t xml:space="preserve">Senior Site Reliability Engineer, DGX Cloud</t>
  </si>
  <si>
    <t xml:space="preserve">JR2021427</t>
  </si>
  <si>
    <t xml:space="preserve">Optiver</t>
  </si>
  <si>
    <t xml:space="preserve">Cloud Infrastructure Engineer – Digital Assets</t>
  </si>
  <si>
    <t xml:space="preserve">Mid 3-5y £130–220k; clears working floor</t>
  </si>
  <si>
    <t xml:space="preserve">Optiver own</t>
  </si>
  <si>
    <t xml:space="preserve">Terraform/Python/Go/multi-cloud; explicitly 'Experienced'.</t>
  </si>
  <si>
    <t xml:space="preserve">Software Engineer – Digital Assets</t>
  </si>
  <si>
    <t xml:space="preserve">Software Engineer – Reference Data</t>
  </si>
  <si>
    <t xml:space="preserve">Palantir</t>
  </si>
  <si>
    <t xml:space="preserve">Backend SWE – Infrastructure</t>
  </si>
  <si>
    <t xml:space="preserve">London SWE £93–208k — clears working floor, £150k at top of band</t>
  </si>
  <si>
    <t xml:space="preserve">Lever</t>
  </si>
  <si>
    <t xml:space="preserve">Edge Infrastructure Engineer</t>
  </si>
  <si>
    <t xml:space="preserve">Forward Deployed AI Engineer</t>
  </si>
  <si>
    <t xml:space="preserve">Forward Deployed Reliability Engineer</t>
  </si>
  <si>
    <t xml:space="preserve">Senior Backend SWE – Application Development</t>
  </si>
  <si>
    <t xml:space="preserve">EVERGREEN — posting age not meaningful (evergreen req)</t>
  </si>
  <si>
    <t xml:space="preserve">Senior Backend SWE – Infrastructure</t>
  </si>
  <si>
    <t xml:space="preserve">Not stated; 6+ yrs</t>
  </si>
  <si>
    <t xml:space="preserve">Senior SWE, Substrate (K8s fleet)</t>
  </si>
  <si>
    <t xml:space="preserve">Not stated; asks 4+ yrs</t>
  </si>
  <si>
    <t xml:space="preserve">4+ yrs = exactly your band.</t>
  </si>
  <si>
    <t xml:space="preserve">Software Engineer – Apollo Platform</t>
  </si>
  <si>
    <t xml:space="preserve">EVERGREEN — posting age not meaningful (~4 years — evergreen req)</t>
  </si>
  <si>
    <t xml:space="preserve">Not stated; 'open to all levels of experience'</t>
  </si>
  <si>
    <t xml:space="preserve">Apollo = continuous deployment platform. No seniority gate.</t>
  </si>
  <si>
    <t xml:space="preserve">Perplexity</t>
  </si>
  <si>
    <t xml:space="preserve">MTS – Backend SWE, Search Crawler</t>
  </si>
  <si>
    <t xml:space="preserve">London / Berlin / Belgrade</t>
  </si>
  <si>
    <t xml:space="preserve">No London band found</t>
  </si>
  <si>
    <t xml:space="preserve">396 days — STALE — first published 2025-07-28</t>
  </si>
  <si>
    <t xml:space="preserve">MTS – Backend/Infrastructure Engineer, Search</t>
  </si>
  <si>
    <t xml:space="preserve">539 days — STALE — first published 2025-03-07</t>
  </si>
  <si>
    <t xml:space="preserve">Rust/Go, AWS, K8s.</t>
  </si>
  <si>
    <t xml:space="preserve">Scale AI</t>
  </si>
  <si>
    <t xml:space="preserve">Frontier Agents Engineer (Forward Deployed)</t>
  </si>
  <si>
    <t xml:space="preserve">Strong — AI</t>
  </si>
  <si>
    <t xml:space="preserve">unknown — first published not obtained</t>
  </si>
  <si>
    <t xml:space="preserve">Screening question only, no commitment</t>
  </si>
  <si>
    <t xml:space="preserve">4536659005</t>
  </si>
  <si>
    <t xml:space="preserve">ML Engineer, Platform</t>
  </si>
  <si>
    <t xml:space="preserve">Screening question</t>
  </si>
  <si>
    <t xml:space="preserve">4711544005</t>
  </si>
  <si>
    <t xml:space="preserve">Software Engineer, Enterprise</t>
  </si>
  <si>
    <t xml:space="preserve">Screening question only</t>
  </si>
  <si>
    <t xml:space="preserve">4536653005</t>
  </si>
  <si>
    <t xml:space="preserve">Sr Staff ML Forward Deployed Engineer, Enterprise GenAI</t>
  </si>
  <si>
    <t xml:space="preserve">Med (Sr Staff)</t>
  </si>
  <si>
    <t xml:space="preserve">4712145005</t>
  </si>
  <si>
    <t xml:space="preserve">Tower Research</t>
  </si>
  <si>
    <t xml:space="preserve">Senior SWE, Development Tools</t>
  </si>
  <si>
    <t xml:space="preserve">London £117–187k</t>
  </si>
  <si>
    <t xml:space="preserve">7683372</t>
  </si>
  <si>
    <t xml:space="preserve">'Senior' title matches SDE3.</t>
  </si>
  <si>
    <t xml:space="preserve">Software Engineer, C++</t>
  </si>
  <si>
    <t xml:space="preserve">7979738</t>
  </si>
  <si>
    <t xml:space="preserve">XTX Markets</t>
  </si>
  <si>
    <t xml:space="preserve">Machine Learning Performance Engineer</t>
  </si>
  <si>
    <t xml:space="preserve">London £113–189k</t>
  </si>
  <si>
    <t xml:space="preserve">7741365003</t>
  </si>
  <si>
    <t xml:space="preserve">Software Developer – Shared Engineering (2026)</t>
  </si>
  <si>
    <t xml:space="preserve">7835362003</t>
  </si>
  <si>
    <t xml:space="preserve">xAI</t>
  </si>
  <si>
    <t xml:space="preserve">Backend Engineer – API</t>
  </si>
  <si>
    <t xml:space="preserve">Strong — frontier lab</t>
  </si>
  <si>
    <t xml:space="preserve">Likely clears floor; no London data</t>
  </si>
  <si>
    <t xml:space="preserve">5120536007</t>
  </si>
  <si>
    <t xml:space="preserve">Member of Technical Staff – Sandbox Service</t>
  </si>
  <si>
    <t xml:space="preserve">5007872007</t>
  </si>
  <si>
    <t xml:space="preserve">Code-execution sandboxes for agents — direct hit.</t>
  </si>
  <si>
    <t xml:space="preserve">Adyen</t>
  </si>
  <si>
    <t xml:space="preserve">Senior Observability Infrastructure Engineer</t>
  </si>
  <si>
    <t xml:space="preserve">Mid</t>
  </si>
  <si>
    <t xml:space="preserve">Amsterdam; asks 10+ yrs</t>
  </si>
  <si>
    <t xml:space="preserve">Not stated; office-first; 10+ yrs</t>
  </si>
  <si>
    <t xml:space="preserve">7607691</t>
  </si>
  <si>
    <t xml:space="preserve">Prometheus/Tempo/ClickHouse/Go — great fit, big YOE ask.</t>
  </si>
  <si>
    <t xml:space="preserve">Staff SWE – Identity &amp; Risk Intelligence</t>
  </si>
  <si>
    <t xml:space="preserve">7325482</t>
  </si>
  <si>
    <t xml:space="preserve">Amazon</t>
  </si>
  <si>
    <t xml:space="preserve">SDE, Amazon (ASCS)</t>
  </si>
  <si>
    <t xml:space="preserve">Not rated</t>
  </si>
  <si>
    <t xml:space="preserve">Not researched</t>
  </si>
  <si>
    <t xml:space="preserve">10485819</t>
  </si>
  <si>
    <t xml:space="preserve">Senior SDE, NextGen Security ZeroFriction</t>
  </si>
  <si>
    <t xml:space="preserve">10491483</t>
  </si>
  <si>
    <t xml:space="preserve">Barclays</t>
  </si>
  <si>
    <t xml:space="preserve">AI Platform Engineer</t>
  </si>
  <si>
    <t xml:space="preserve">Mid — bank</t>
  </si>
  <si>
    <t xml:space="preserve">VP SWE ~£110–150k — below bar</t>
  </si>
  <si>
    <t xml:space="preserve">EXPLICIT sponsorship process</t>
  </si>
  <si>
    <t xml:space="preserve">Radancy → Workday</t>
  </si>
  <si>
    <t xml:space="preserve">99542109296</t>
  </si>
  <si>
    <t xml:space="preserve">Senior AI Platform Engineer</t>
  </si>
  <si>
    <t xml:space="preserve">99719469600</t>
  </si>
  <si>
    <t xml:space="preserve">Senior Python Platform Engineer</t>
  </si>
  <si>
    <t xml:space="preserve">EXPLICIT sponsorship declaration process</t>
  </si>
  <si>
    <t xml:space="preserve">91713320336</t>
  </si>
  <si>
    <t xml:space="preserve">Only bank with an unambiguous published sponsorship pathway.</t>
  </si>
  <si>
    <t xml:space="preserve">Senior Software Engineer</t>
  </si>
  <si>
    <t xml:space="preserve">Med (C#/.NET-heavy)</t>
  </si>
  <si>
    <t xml:space="preserve">JR-0000093654</t>
  </si>
  <si>
    <t xml:space="preserve">Black Forest Labs</t>
  </si>
  <si>
    <t xml:space="preserve">MTS – Research Infrastructure Engineer</t>
  </si>
  <si>
    <t xml:space="preserve">Freiburg, DE</t>
  </si>
  <si>
    <t xml:space="preserve">Mid — AI</t>
  </si>
  <si>
    <t xml:space="preserve">Germany/US</t>
  </si>
  <si>
    <t xml:space="preserve">4925659008</t>
  </si>
  <si>
    <t xml:space="preserve">BlackRock</t>
  </si>
  <si>
    <t xml:space="preserve">Full Stack SWE, Associate – Preqin Engineering</t>
  </si>
  <si>
    <t xml:space="preserve">Associate £80–95k, VP £110–160k — below bar at Associate</t>
  </si>
  <si>
    <t xml:space="preserve">99108243968</t>
  </si>
  <si>
    <t xml:space="preserve">Associate = right level for 4 YOE.</t>
  </si>
  <si>
    <t xml:space="preserve">VP, Full-Stack SWE (Java)</t>
  </si>
  <si>
    <t xml:space="preserve">Not stated; 7+ yrs</t>
  </si>
  <si>
    <t xml:space="preserve">R264977</t>
  </si>
  <si>
    <t xml:space="preserve">Bloomberg</t>
  </si>
  <si>
    <t xml:space="preserve">Senior SWE – DataHub Experience &amp; Control Plane</t>
  </si>
  <si>
    <t xml:space="preserve">Mid logo</t>
  </si>
  <si>
    <t xml:space="preserve">London £99–156k — below your bar</t>
  </si>
  <si>
    <t xml:space="preserve">Avature</t>
  </si>
  <si>
    <t xml:space="preserve">19859</t>
  </si>
  <si>
    <t xml:space="preserve">Senior SWE – DevX SCAnS (Developer Experience)</t>
  </si>
  <si>
    <t xml:space="preserve">Not stated; Bloomberg UK routinely sponsors</t>
  </si>
  <si>
    <t xml:space="preserve">11924</t>
  </si>
  <si>
    <t xml:space="preserve">Best title-to-story match outside G-Research.</t>
  </si>
  <si>
    <t xml:space="preserve">Senior SWE – Login Platform</t>
  </si>
  <si>
    <t xml:space="preserve">20520</t>
  </si>
  <si>
    <t xml:space="preserve">Your Logto/Entra/Cognito OIDC fleet migration is the pitch.</t>
  </si>
  <si>
    <t xml:space="preserve">Senior SWE – Platform as a Service (BPaaS)</t>
  </si>
  <si>
    <t xml:space="preserve">17294 (ref 10049117)</t>
  </si>
  <si>
    <t xml:space="preserve">Verified live 28 Aug.</t>
  </si>
  <si>
    <t xml:space="preserve">Software Developer</t>
  </si>
  <si>
    <t xml:space="preserve">Bloomberg own</t>
  </si>
  <si>
    <t xml:space="preserve">71371</t>
  </si>
  <si>
    <t xml:space="preserve">Celonis</t>
  </si>
  <si>
    <t xml:space="preserve">Senior SWE – Orchestration and Automation</t>
  </si>
  <si>
    <t xml:space="preserve">MADRID</t>
  </si>
  <si>
    <t xml:space="preserve">Madrid €56–78k — far below bar</t>
  </si>
  <si>
    <t xml:space="preserve">No visa needed — you already live in Spain</t>
  </si>
  <si>
    <t xml:space="preserve">7678804003</t>
  </si>
  <si>
    <t xml:space="preserve">Senior SWE – Provisioning and Licensing</t>
  </si>
  <si>
    <t xml:space="preserve">Munich</t>
  </si>
  <si>
    <t xml:space="preserve">7712675003</t>
  </si>
  <si>
    <t xml:space="preserve">Citi</t>
  </si>
  <si>
    <t xml:space="preserve">Senior Software Engineer (VP)</t>
  </si>
  <si>
    <t xml:space="preserve">London £59–200k; VP ~£130–180k — borderline</t>
  </si>
  <si>
    <t xml:space="preserve">Radancy → Citi</t>
  </si>
  <si>
    <t xml:space="preserve">25854592</t>
  </si>
  <si>
    <t xml:space="preserve">Software Engineer – Equities Tech – VP</t>
  </si>
  <si>
    <t xml:space="preserve">25906512</t>
  </si>
  <si>
    <t xml:space="preserve">React/TS/Kotlin/Kafka/Kubernetes.</t>
  </si>
  <si>
    <t xml:space="preserve">Datadog</t>
  </si>
  <si>
    <t xml:space="preserve">Senior SWE – REDAPL Graph Engine</t>
  </si>
  <si>
    <t xml:space="preserve">Dublin / MADRID / Paris</t>
  </si>
  <si>
    <t xml:space="preserve">London unknown; Madrid senior €110–148k</t>
  </si>
  <si>
    <t xml:space="preserve">Madrid option = no visa needed</t>
  </si>
  <si>
    <t xml:space="preserve">R19260</t>
  </si>
  <si>
    <t xml:space="preserve">Pick Madrid on the application.</t>
  </si>
  <si>
    <t xml:space="preserve">Deutsche Bank</t>
  </si>
  <si>
    <t xml:space="preserve">kdb+ Engineer</t>
  </si>
  <si>
    <t xml:space="preserve">Niche reqs only</t>
  </si>
  <si>
    <t xml:space="preserve">R0418763-1</t>
  </si>
  <si>
    <t xml:space="preserve">Description not extractable — verify in browser.</t>
  </si>
  <si>
    <t xml:space="preserve">Elastic</t>
  </si>
  <si>
    <t xml:space="preserve">Principal Java Engineer – Distributed Systems, Serverless</t>
  </si>
  <si>
    <t xml:space="preserve">Spain (remote)</t>
  </si>
  <si>
    <t xml:space="preserve">Spain €74–98k — far below bar; Amsterdam €160–166k</t>
  </si>
  <si>
    <t xml:space="preserve">No visa needed</t>
  </si>
  <si>
    <t xml:space="preserve">Med (Principal level)</t>
  </si>
  <si>
    <t xml:space="preserve">8002562</t>
  </si>
  <si>
    <t xml:space="preserve">Flow Traders</t>
  </si>
  <si>
    <t xml:space="preserve">Senior Software Engineer, C++</t>
  </si>
  <si>
    <t xml:space="preserve">Mid — quant</t>
  </si>
  <si>
    <t xml:space="preserve">€69–129k — below bar</t>
  </si>
  <si>
    <t xml:space="preserve">Med (7+ yrs C++)</t>
  </si>
  <si>
    <t xml:space="preserve">8027844</t>
  </si>
  <si>
    <t xml:space="preserve">Staff Engineer, Trading Automation &amp; Backend Platforms</t>
  </si>
  <si>
    <t xml:space="preserve">EXPLICIT: sponsorship incl. partner/children</t>
  </si>
  <si>
    <t xml:space="preserve">8035201</t>
  </si>
  <si>
    <t xml:space="preserve">Grafana Labs</t>
  </si>
  <si>
    <t xml:space="preserve">Backend Engineer – Platform Stacks</t>
  </si>
  <si>
    <t xml:space="preserve">UK Remote (ES twin: 5999670004)</t>
  </si>
  <si>
    <t xml:space="preserve">Mid — dev platform</t>
  </si>
  <si>
    <t xml:space="preserve">Spain €85–142k / geo-tiered — BELOW BAR, and breaks your tax regime</t>
  </si>
  <si>
    <t xml:space="preserve">101 days — first published 2026-05-19</t>
  </si>
  <si>
    <t xml:space="preserve">Spain twin available</t>
  </si>
  <si>
    <t xml:space="preserve">5999673004</t>
  </si>
  <si>
    <t xml:space="preserve">ES twin: .../5999670004</t>
  </si>
  <si>
    <t xml:space="preserve">Senior Backend Engineer – Databases, Loki Ingest</t>
  </si>
  <si>
    <t xml:space="preserve">UK Remote (ES twin: 6123197004)</t>
  </si>
  <si>
    <t xml:space="preserve">36 days — first published 2026-07-23</t>
  </si>
  <si>
    <t xml:space="preserve">6123193004</t>
  </si>
  <si>
    <t xml:space="preserve">ES twin: .../6123197004</t>
  </si>
  <si>
    <t xml:space="preserve">Senior Platform Engineer – Platform Metal</t>
  </si>
  <si>
    <t xml:space="preserve">UK Remote (ES twin: 6134518004)</t>
  </si>
  <si>
    <t xml:space="preserve">23 days — first published 2026-08-05</t>
  </si>
  <si>
    <t xml:space="preserve">6134516004</t>
  </si>
  <si>
    <t xml:space="preserve">ES twin: .../6134518004</t>
  </si>
  <si>
    <t xml:space="preserve">Software Engineer – Platform Productivity</t>
  </si>
  <si>
    <t xml:space="preserve">UK Remote (ES twin: 6135790004)</t>
  </si>
  <si>
    <t xml:space="preserve">No visa needed via Spain-remote twin req</t>
  </si>
  <si>
    <t xml:space="preserve">6135792004</t>
  </si>
  <si>
    <t xml:space="preserve">APPLY TO THE SPAIN TWIN: https://job-boards.greenhouse.io/grafanalabs/jobs/6135790004 — zero immigration friction.</t>
  </si>
  <si>
    <t xml:space="preserve">Staff AI Engineer – 2nd Horizon (LLMs, agents)</t>
  </si>
  <si>
    <t xml:space="preserve">UK Remote (ES twin: 6117336004)</t>
  </si>
  <si>
    <t xml:space="preserve">43 days — first published 2026-07-16</t>
  </si>
  <si>
    <t xml:space="preserve">No visa needed via Spain twin</t>
  </si>
  <si>
    <t xml:space="preserve">6117339004</t>
  </si>
  <si>
    <t xml:space="preserve">ES twin: https://job-boards.greenhouse.io/grafanalabs/jobs/6117336004</t>
  </si>
  <si>
    <t xml:space="preserve">Staff SWE – Databases SRE</t>
  </si>
  <si>
    <t xml:space="preserve">UK Remote (ES twin: 6103685004)</t>
  </si>
  <si>
    <t xml:space="preserve">60 days — first published 2026-06-29</t>
  </si>
  <si>
    <t xml:space="preserve">Spain twin available; 8+ yrs</t>
  </si>
  <si>
    <t xml:space="preserve">6101637004</t>
  </si>
  <si>
    <t xml:space="preserve">ES twin: .../6103685004</t>
  </si>
  <si>
    <t xml:space="preserve">Staff SWE – Identity and Access (OAuth/OIDC/SAML)</t>
  </si>
  <si>
    <t xml:space="preserve">UK Remote (ES twin: 6105597004)</t>
  </si>
  <si>
    <t xml:space="preserve">58 days — first published 2026-07-01</t>
  </si>
  <si>
    <t xml:space="preserve">6105600004</t>
  </si>
  <si>
    <t xml:space="preserve">Wants expert OIDC/SAML + Go. ES twin: https://job-boards.greenhouse.io/grafanalabs/jobs/6105597004</t>
  </si>
  <si>
    <t xml:space="preserve">Harvey</t>
  </si>
  <si>
    <t xml:space="preserve">Senior SWE, Core Infrastructure</t>
  </si>
  <si>
    <t xml:space="preserve">San Francisco (in-person)</t>
  </si>
  <si>
    <t xml:space="preserve">US only</t>
  </si>
  <si>
    <t xml:space="preserve">217 days — STALE — first published 2026-01-23</t>
  </si>
  <si>
    <t xml:space="preserve">Relocation offered</t>
  </si>
  <si>
    <t xml:space="preserve">Med (US)</t>
  </si>
  <si>
    <t xml:space="preserve">Helsing</t>
  </si>
  <si>
    <t xml:space="preserve">Software Engineer – Backend</t>
  </si>
  <si>
    <t xml:space="preserve">London / Berlin / Munich / Paris</t>
  </si>
  <si>
    <t xml:space="preserve">Mid — defence</t>
  </si>
  <si>
    <t xml:space="preserve">Right-to-work + clearance likely blocking</t>
  </si>
  <si>
    <t xml:space="preserve">No sponsorship; must hold right to work; clearance question</t>
  </si>
  <si>
    <t xml:space="preserve">Med (likely blocked)</t>
  </si>
  <si>
    <t xml:space="preserve">Greenhouse-backed</t>
  </si>
  <si>
    <t xml:space="preserve">4125061101</t>
  </si>
  <si>
    <t xml:space="preserve">Hugging Face</t>
  </si>
  <si>
    <t xml:space="preserve">Low-level Senior SWE, Xet Storage</t>
  </si>
  <si>
    <t xml:space="preserve">EMEA Remote</t>
  </si>
  <si>
    <t xml:space="preserve">Strong brand, low pay</t>
  </si>
  <si>
    <t xml:space="preserve">Geo-tiered EMEA; France €75–100k TC — below bar</t>
  </si>
  <si>
    <t xml:space="preserve">Remote EMEA</t>
  </si>
  <si>
    <t xml:space="preserve">Med (systems-level)</t>
  </si>
  <si>
    <t xml:space="preserve">Workable</t>
  </si>
  <si>
    <t xml:space="preserve">Senior Python SWE / Open-Source Contributor</t>
  </si>
  <si>
    <t xml:space="preserve">Remote EMEA — no visa needed</t>
  </si>
  <si>
    <t xml:space="preserve">LangChain</t>
  </si>
  <si>
    <t xml:space="preserve">Senior Fullstack Engineer, AI Observability &amp; Evals</t>
  </si>
  <si>
    <t xml:space="preserve">San Francisco</t>
  </si>
  <si>
    <t xml:space="preserve">Strong — AI dev tools</t>
  </si>
  <si>
    <t xml:space="preserve">555 days — STALE — first published 2025-02-19</t>
  </si>
  <si>
    <t xml:space="preserve">US-only</t>
  </si>
  <si>
    <t xml:space="preserve">Med (geo)</t>
  </si>
  <si>
    <t xml:space="preserve">Agent telemetry/dashboards match exactly; geo doesn't.</t>
  </si>
  <si>
    <t xml:space="preserve">LiveKit</t>
  </si>
  <si>
    <t xml:space="preserve">Developer Success Engineer</t>
  </si>
  <si>
    <t xml:space="preserve">United Kingdom</t>
  </si>
  <si>
    <t xml:space="preserve">Mid — AI dev tools</t>
  </si>
  <si>
    <t xml:space="preserve">Engineering roles NA-only</t>
  </si>
  <si>
    <t xml:space="preserve">Miro</t>
  </si>
  <si>
    <t xml:space="preserve">Senior Network SRE</t>
  </si>
  <si>
    <t xml:space="preserve">Copenhagen / London / Remote Europe</t>
  </si>
  <si>
    <t xml:space="preserve">No band found</t>
  </si>
  <si>
    <t xml:space="preserve">Asks sponsorship question</t>
  </si>
  <si>
    <t xml:space="preserve">8579901002</t>
  </si>
  <si>
    <t xml:space="preserve">MongoDB</t>
  </si>
  <si>
    <t xml:space="preserve">Senior Software Engineer, Observability</t>
  </si>
  <si>
    <t xml:space="preserve">Dublin</t>
  </si>
  <si>
    <t xml:space="preserve">Dublin; no band found</t>
  </si>
  <si>
    <t xml:space="preserve">7695616</t>
  </si>
  <si>
    <t xml:space="preserve">Monzo</t>
  </si>
  <si>
    <t xml:space="preserve">Senior Backend Engineer (L50)</t>
  </si>
  <si>
    <t xml:space="preserve">London / Cardiff / Remote UK</t>
  </si>
  <si>
    <t xml:space="preserve">Mid — UK fintech</t>
  </si>
  <si>
    <t xml:space="preserve">L4 £83–181k, median well under bar — BELOW BAR</t>
  </si>
  <si>
    <t xml:space="preserve">EXPLICIT: 'We can sponsor visas' + relocation help</t>
  </si>
  <si>
    <t xml:space="preserve">6635837</t>
  </si>
  <si>
    <t xml:space="preserve">Go/K8s/AWS/Terraform/Kafka — near-exact stack match. Highest EV application in the whole set.</t>
  </si>
  <si>
    <t xml:space="preserve">Senior Platform Engineer</t>
  </si>
  <si>
    <t xml:space="preserve">EVERGREEN — posting age not meaningful (526 days — evergreen req)</t>
  </si>
  <si>
    <t xml:space="preserve">EXPLICIT: 'We can sponsor visas'</t>
  </si>
  <si>
    <t xml:space="preserve">6699672</t>
  </si>
  <si>
    <t xml:space="preserve">Platform ownership story maps 1:1 to your universal-platform work.</t>
  </si>
  <si>
    <t xml:space="preserve">Runway</t>
  </si>
  <si>
    <t xml:space="preserve">MTS, Backend Engineer, API</t>
  </si>
  <si>
    <t xml:space="preserve">Remote</t>
  </si>
  <si>
    <t xml:space="preserve">US</t>
  </si>
  <si>
    <t xml:space="preserve">SIG (Susquehanna)</t>
  </si>
  <si>
    <t xml:space="preserve">No London IC req; Dublin only</t>
  </si>
  <si>
    <t xml:space="preserve">Not stated; immediate start</t>
  </si>
  <si>
    <t xml:space="preserve">SIG own</t>
  </si>
  <si>
    <t xml:space="preserve">10903</t>
  </si>
  <si>
    <t xml:space="preserve">Synthesia</t>
  </si>
  <si>
    <t xml:space="preserve">Principal Backend Engineer</t>
  </si>
  <si>
    <t xml:space="preserve">London / remote-EU via OysterHR</t>
  </si>
  <si>
    <t xml:space="preserve">Mid — AI startup</t>
  </si>
  <si>
    <t xml:space="preserve">£81–145k — below bar</t>
  </si>
  <si>
    <t xml:space="preserve">228 days — STALE — first published 2026-01-12</t>
  </si>
  <si>
    <t xml:space="preserve">Remote-EU possible</t>
  </si>
  <si>
    <t xml:space="preserve">Med (Principal)</t>
  </si>
  <si>
    <t xml:space="preserve">€200k base posted.</t>
  </si>
  <si>
    <t xml:space="preserve">Together AI</t>
  </si>
  <si>
    <t xml:space="preserve">AI Infrastructure Systems Engineer</t>
  </si>
  <si>
    <t xml:space="preserve">Amsterdam hybrid or remote UK</t>
  </si>
  <si>
    <t xml:space="preserve">Mid — AI infra</t>
  </si>
  <si>
    <t xml:space="preserve">4555544007</t>
  </si>
  <si>
    <t xml:space="preserve">Senior SWE, Together Cloud Infrastructure</t>
  </si>
  <si>
    <t xml:space="preserve">9 days — FRESH (Amsterdam req) — first published 2026-08-19</t>
  </si>
  <si>
    <t xml:space="preserve">Asks NL sponsorship question</t>
  </si>
  <si>
    <t xml:space="preserve">5028862007</t>
  </si>
  <si>
    <t xml:space="preserve">Staff SWE, Inference / Compute Infrastructure</t>
  </si>
  <si>
    <t xml:space="preserve">8 days — FRESH — first published 2026-08-20</t>
  </si>
  <si>
    <t xml:space="preserve">5214645007</t>
  </si>
  <si>
    <t xml:space="preserve">Vercel</t>
  </si>
  <si>
    <t xml:space="preserve">Senior Forward-Deployed Engineer</t>
  </si>
  <si>
    <t xml:space="preserve">Berlin / London</t>
  </si>
  <si>
    <t xml:space="preserve">UK £132–147k — ceiling below £150k</t>
  </si>
  <si>
    <t xml:space="preserve">5778418004</t>
  </si>
  <si>
    <t xml:space="preserve">Software Engineer, Compute</t>
  </si>
  <si>
    <t xml:space="preserve">London (UK remote OK)</t>
  </si>
  <si>
    <t xml:space="preserve">6113157004</t>
  </si>
  <si>
    <t xml:space="preserve">Software Engineer, Observability</t>
  </si>
  <si>
    <t xml:space="preserve">London / NYC / SF</t>
  </si>
  <si>
    <t xml:space="preserve">5428982004</t>
  </si>
  <si>
    <t xml:space="preserve">Wayve</t>
  </si>
  <si>
    <t xml:space="preserve">Full-Stack SWE, Model Development Platform</t>
  </si>
  <si>
    <t xml:space="preserve">London / Sunnyvale</t>
  </si>
  <si>
    <t xml:space="preserve">£111–129k — below bar</t>
  </si>
  <si>
    <t xml:space="preserve">FirstStage</t>
  </si>
  <si>
    <t xml:space="preserve">React/TS + Python/FastAPI internal dev platform — almost a description of Template Agents.</t>
  </si>
  <si>
    <t xml:space="preserve">Senior SRE, AI Infrastructure</t>
  </si>
  <si>
    <t xml:space="preserve">Software Engineer (AI Libraries)</t>
  </si>
  <si>
    <t xml:space="preserve">Python, K8s, Argo, Prometheus/Grafana.</t>
  </si>
  <si>
    <t xml:space="preserve">Staff SRE, AI Infrastructure</t>
  </si>
  <si>
    <t xml:space="preserve">Wise</t>
  </si>
  <si>
    <t xml:space="preserve">Software Engineer – Recurring Payin</t>
  </si>
  <si>
    <t xml:space="preserve">Posted £68–87.5k — well below bar</t>
  </si>
  <si>
    <t xml:space="preserve">Not stated; £68–87.5k</t>
  </si>
  <si>
    <t xml:space="preserve">Med (below level)</t>
  </si>
  <si>
    <t xml:space="preserve">SmartRecruiters</t>
  </si>
  <si>
    <t xml:space="preserve">3490</t>
  </si>
  <si>
    <t xml:space="preserve">Comp below your baseline — skip unless visa is the priority.</t>
  </si>
  <si>
    <t xml:space="preserve">#</t>
  </si>
  <si>
    <t xml:space="preserve">City</t>
  </si>
  <si>
    <t xml:space="preserve">Stay in San Sebastián?</t>
  </si>
  <si>
    <t xml:space="preserve">Estimated comp</t>
  </si>
  <si>
    <t xml:space="preserve">Employing entity / mechanism</t>
  </si>
  <si>
    <t xml:space="preserve">Why this one</t>
  </si>
  <si>
    <t xml:space="preserve">GitHub (Microsoft)</t>
  </si>
  <si>
    <t xml:space="preserve">Senior Software Engineer in Spain</t>
  </si>
  <si>
    <t xml:space="preserve">Remote, Spain</t>
  </si>
  <si>
    <t xml:space="preserve">YES — no move at all</t>
  </si>
  <si>
    <t xml:space="preserve">€169–197k at E5; Spain median TC ~$195k</t>
  </si>
  <si>
    <t xml:space="preserve">Microsoft Spanish entity — real Spanish contract</t>
  </si>
  <si>
    <t xml:space="preserve">THE BEST FIT IN THIS WHOLE SEARCH for what you described. Top developer brand, remote from San Sebastián, employed via a Spanish entity — so the PR clock keeps running AND the art. 56 bis foral tax exemption survives (it requires a Spain-resident employer). Roughly 2.4x your current gross.</t>
  </si>
  <si>
    <t xml:space="preserve">Senior Software Engineer, Threat Intelligence</t>
  </si>
  <si>
    <t xml:space="preserve">Málaga (GSEC)</t>
  </si>
  <si>
    <t xml:space="preserve">No — relocate within Spain</t>
  </si>
  <si>
    <t xml:space="preserve">€114–148k (Google Spain band)</t>
  </si>
  <si>
    <t xml:space="preserve">Google Spain entity</t>
  </si>
  <si>
    <t xml:space="preserve">Asks 5 yrs software dev + 3 yrs full-stack across Python, Go, TypeScript — your stack line for line. Moving Gipuzkoa→Málaga has ZERO immigration consequence (just notify the police within a month). You lose the Gipuzkoa foral 30% exemption though; Andalucía is common-territory IRPF and Beckham is unavailable to you.</t>
  </si>
  <si>
    <t xml:space="preserve">Staff Software Engineer (AI/ML), Security &amp; Privacy</t>
  </si>
  <si>
    <t xml:space="preserve">Above the €148k SWE ceiling</t>
  </si>
  <si>
    <t xml:space="preserve">Staff level is a stretch at 4 yrs, but it is the same office and the same team as #2 — apply to both.</t>
  </si>
  <si>
    <t xml:space="preserve">Software Engineer III, AI/ML, Threat Intelligence</t>
  </si>
  <si>
    <t xml:space="preserve">€114–143k</t>
  </si>
  <si>
    <t xml:space="preserve">SWE III is the level that actually matches 4 yrs. Realistically your strongest Google shot anywhere.</t>
  </si>
  <si>
    <t xml:space="preserve">12 open Madrid engineering positions</t>
  </si>
  <si>
    <t xml:space="preserve">Madrid</t>
  </si>
  <si>
    <t xml:space="preserve">Senior €110–148k</t>
  </si>
  <si>
    <t xml:space="preserve">Datadog Spanish entity (from the Undefined Labs acquisition)</t>
  </si>
  <si>
    <t xml:space="preserve">A genuine engineering hub, not a sales office: CI Visibility, Static Analysis, App Security, APM, internal platform. Their board is JS-only so individual links could not be extracted — EMAIL MADRID RECRUITING DIRECTLY. Best stack match to your observability/ClickHouse/Druid background of anything in Spain.</t>
  </si>
  <si>
    <t xml:space="preserve">SDE – Discovery Tech (DiscoTec)</t>
  </si>
  <si>
    <t xml:space="preserve">Madrid Tech Hub</t>
  </si>
  <si>
    <t xml:space="preserve">SDE II €78–102k; SDE III €86–187k</t>
  </si>
  <si>
    <t xml:space="preserve">Amazon Spain entity</t>
  </si>
  <si>
    <t xml:space="preserve">Posted 27 May 2026. NOTE: Amazon SDE III is L6 (8-10 yrs) — you are an SDE II candidate. Apply to SDE II reqs, not SDE III.</t>
  </si>
  <si>
    <t xml:space="preserve">Software Dev Engineer, Machine Learning</t>
  </si>
  <si>
    <t xml:space="preserve">As above</t>
  </si>
  <si>
    <t xml:space="preserve">Posted 28 Apr 2026 — over your 2-week rule, verify it is still live.</t>
  </si>
  <si>
    <t xml:space="preserve">SDE (Java &amp; AWS), Ring</t>
  </si>
  <si>
    <t xml:space="preserve">Posted 1 Jul 2026.</t>
  </si>
  <si>
    <t xml:space="preserve">Microsoft</t>
  </si>
  <si>
    <t xml:space="preserve">Software Engineer – Cloud Data Warehouse</t>
  </si>
  <si>
    <t xml:space="preserve">Barcelona</t>
  </si>
  <si>
    <t xml:space="preserve">Barcelona €77–151k; Madrid €144–152k</t>
  </si>
  <si>
    <t xml:space="preserve">Microsoft Spain entity</t>
  </si>
  <si>
    <t xml:space="preserve">UNVERIFIED — Microsoft's careers domain blocks automated checks, so this URL came from search results and was not fetched. Barcelona also hosts a WebXT AI R&amp;D hub (~90 specialists). Check manually.</t>
  </si>
  <si>
    <t xml:space="preserve">New Relic</t>
  </si>
  <si>
    <t xml:space="preserve">Senior Software Engineer – Java</t>
  </si>
  <si>
    <t xml:space="preserve">No Levels.fyi Spain data found</t>
  </si>
  <si>
    <t xml:space="preserve">Spanish entity</t>
  </si>
  <si>
    <t xml:space="preserve">Real observability platform engineering in Barcelona. Weaker brand than the rest of this list.</t>
  </si>
  <si>
    <t xml:space="preserve">RULED OUT OR WATCH-ONLY</t>
  </si>
  <si>
    <t xml:space="preserve">Comp signal</t>
  </si>
  <si>
    <t xml:space="preserve">Verdict</t>
  </si>
  <si>
    <t xml:space="preserve">Meta</t>
  </si>
  <si>
    <t xml:space="preserve">€117–333k on Levels.fyi (E5 Madrid €156–240k)</t>
  </si>
  <si>
    <t xml:space="preserve">PROBABLY NOT AN ENGINEERING OFFICE. The 2022 announcement described a 'flexible base for remote workers'. The salary data is real but almost certainly a handful of remote/relocated staff, not an org you can apply into. The Meta-floor-above-Google-ceiling anomaly is a small-sample red flag.</t>
  </si>
  <si>
    <t xml:space="preserve">Stripe</t>
  </si>
  <si>
    <t xml:space="preserve">—</t>
  </si>
  <si>
    <t xml:space="preserve">Spain shows €129–368k on Levels.fyi</t>
  </si>
  <si>
    <t xml:space="preserve">NO SPAIN OFFICE, and their remote hub explicitly EXCLUDES Spain (15 eligible countries, Spain not among them). Rule out.</t>
  </si>
  <si>
    <t xml:space="preserve">Apple / Netflix / NVIDIA / Databricks / Oracle / Salesforce</t>
  </si>
  <si>
    <t xml:space="preserve">No evidence of a Spanish engineering site found.</t>
  </si>
  <si>
    <t xml:space="preserve">SAP</t>
  </si>
  <si>
    <t xml:space="preserve">27 open Spain roles, ZERO engineering — all sales, consulting, interns.</t>
  </si>
  <si>
    <t xml:space="preserve">Spotify</t>
  </si>
  <si>
    <t xml:space="preserve">Office exists, 0 jobs listed, no engineering function described.</t>
  </si>
  <si>
    <t xml:space="preserve">Cloudflare</t>
  </si>
  <si>
    <t xml:space="preserve">Their Iberian hub is LISBON, not Spain.</t>
  </si>
  <si>
    <t xml:space="preserve">Amadeus</t>
  </si>
  <si>
    <t xml:space="preserve">€39–40k</t>
  </si>
  <si>
    <t xml:space="preserve">Global HQ with 1,400 people but core R&amp;D is Sophia Antipolis + Bangalore. Pay is at the bottom of the market.</t>
  </si>
  <si>
    <t xml:space="preserve">Telefónica / BBVA / Santander / Indra</t>
  </si>
  <si>
    <t xml:space="preserve">Telefónica €29–34k; BBVA €25–35k</t>
  </si>
  <si>
    <t xml:space="preserve">The Spanish national champions are the WORST-paying employers researched — roughly a fifth of what the US multinationals pay in the same city. Avoid.</t>
  </si>
  <si>
    <t xml:space="preserve">PostHog</t>
  </si>
  <si>
    <t xml:space="preserve">Spain median TC ~$188k</t>
  </si>
  <si>
    <t xml:space="preserve">Geo-tiered but from an SF-90th-percentile anchor with a hard 0.6 floor outside the US — so the tier barely matters. Small company, cult brand. Worth watching.</t>
  </si>
  <si>
    <t xml:space="preserve">37signals</t>
  </si>
  <si>
    <t xml:space="preserve">SF rates regardless of location</t>
  </si>
  <si>
    <t xml:space="preserve">The only genuinely location-agnostic employer verified. ~30-75 people, hires a few times a year. Cult brand, not a 'top brand'.</t>
  </si>
  <si>
    <t xml:space="preserve">THE KEY FACT</t>
  </si>
  <si>
    <t xml:space="preserve">Relocating WITHIN Spain has no immigration consequence at all. Your PAC authorisation is valid across the whole national territory — you just notify the police of the address change within a month. So Málaga, Madrid and Barcelona all keep your long-term-residence clock running.</t>
  </si>
  <si>
    <t xml:space="preserve">THE TAX TRADE-OFF</t>
  </si>
  <si>
    <t xml:space="preserve">Leaving Gipuzkoa costs you the foral art. 56 bis 30% exemption, and Beckham is NOT available to you in common territory (it needs 5 years' prior non-Spanish-residence, which you'd fail). So a Madrid or Málaga move must clear roughly €98k gross just to match your current net. Google Málaga at €114–148k and Datadog Madrid at €110–148k both clear it; Amazon SDE II at €78–102k mostly does not.</t>
  </si>
  <si>
    <t xml:space="preserve">WHY GITHUB IS RANKED FIRST</t>
  </si>
  <si>
    <t xml:space="preserve">It is the only row that keeps everything: San Sebastián, the foral tax exemption, the PR clock, a Spanish employment contract — and pays at the top of the Spanish market on a genuinely strong developer brand.</t>
  </si>
  <si>
    <t xml:space="preserve">CHANGING EMPLOYER</t>
  </si>
  <si>
    <t xml:space="preserve">A new Spanish employer means a fresh PAC application to UGE-CE: 20 days, positive administrative silence, and filing keeps your residence alive so the 5-year clock does not break. The new role must pay at least €41,356.36 gross (UGE-CE figure from June 2026). Every role above clears that easily.</t>
  </si>
  <si>
    <t xml:space="preserve">WORTH RESOLVING NOW</t>
  </si>
  <si>
    <t xml:space="preserve">Check whether you hold the national PAC or the Tarjeta azul-UE (EU Blue Card). The Blue Card lets you aggregate residence across EU member states toward the 5 years, allows 12-month individual absences instead of 6, and gives 24 months rather than 12 outside the EU before long-term residence is extinguished. If you are changing employer anyway, that is the moment to switch modality.</t>
  </si>
  <si>
    <t xml:space="preserve">THE REMOTE-USD QUESTION</t>
  </si>
  <si>
    <t xml:space="preserve">Mostly a myth. No large strong-brand employer pays true US rates to engineers in Spain. Grafana, Hugging Face, ElevenLabs and Vercel all geo-tier explicitly. The honest exceptions: GitHub (Microsoft Spanish entity, ~$195k median), PostHog (geo-tiered but from an SF-90th anchor with a 0.6 floor), and 37signals (genuinely location-agnostic, ~30-75 people).</t>
  </si>
  <si>
    <t xml:space="preserve">AVOID EOR / CONTRACTOR ARRANGEMENTS</t>
  </si>
  <si>
    <t xml:space="preserve">Spanish Estatuto de los Trabajadores art. 43 prohibits cesión ilegal de trabajadores; EOR splits the directing and employing entity, which is exactly what it bans. Fines run €7,501–€225,018. More importantly for you: a contractor pays into RETA, not the general regime your employment-based permit renewal is assessed against. Whether Spanish immigration accepts an EOR as sponsoring employer is genuinely unresolved — put it to an immigration lawyer before signing anything.</t>
  </si>
  <si>
    <t xml:space="preserve">Geography</t>
  </si>
  <si>
    <t xml:space="preserve">Category</t>
  </si>
  <si>
    <t xml:space="preserve">Old tier</t>
  </si>
  <si>
    <t xml:space="preserve">NEW tier</t>
  </si>
  <si>
    <t xml:space="preserve">Careers URL / board API</t>
  </si>
  <si>
    <t xml:space="preserve">ATS / board token</t>
  </si>
  <si>
    <t xml:space="preserve">Verdict — what changed and why</t>
  </si>
  <si>
    <t xml:space="preserve">London / Remote UK</t>
  </si>
  <si>
    <t xml:space="preserve">Fintech</t>
  </si>
  <si>
    <t xml:space="preserve">B</t>
  </si>
  <si>
    <t xml:space="preserve">A+</t>
  </si>
  <si>
    <t xml:space="preserve">Careers page</t>
  </si>
  <si>
    <t xml:space="preserve">Greenhouse (monzo)</t>
  </si>
  <si>
    <t xml:space="preserve">PROMOTED from B. Only company in the entire search with unambiguous affirmative sponsorship on every backend req, and the stack is a near-exact match. Apply first.</t>
  </si>
  <si>
    <t xml:space="preserve">Quant / Research</t>
  </si>
  <si>
    <t xml:space="preserve">Workday (gresearch.wd103)</t>
  </si>
  <si>
    <t xml:space="preserve">EXPLICIT: 'All relocation and immigration costs covered by G-Research'</t>
  </si>
  <si>
    <t xml:space="preserve">PROMOTED from B. 8 matching London reqs including two devtools roles that read like your CV. Strongest immigration offer of any firm.</t>
  </si>
  <si>
    <t xml:space="preserve">Frontier AI</t>
  </si>
  <si>
    <t xml:space="preserve">A</t>
  </si>
  <si>
    <t xml:space="preserve">Greenhouse (anthropic)</t>
  </si>
  <si>
    <t xml:space="preserve">HOLD AT A but note: every London engineering req is Staff or Staff+. Apply, expect a stretch. Values public artifacts — write up Template Agents first.</t>
  </si>
  <si>
    <t xml:space="preserve">London / US / Canada</t>
  </si>
  <si>
    <t xml:space="preserve">AI / Platform</t>
  </si>
  <si>
    <t xml:space="preserve">Lever (palantir)</t>
  </si>
  <si>
    <t xml:space="preserve">PROMOTED. 9 open London engineering reqs, one explicitly 'open to all levels', one at 4+ yrs. Best volume-of-good-fits in London.</t>
  </si>
  <si>
    <t xml:space="preserve">UK Remote / Spain / Ireland</t>
  </si>
  <si>
    <t xml:space="preserve">Observability</t>
  </si>
  <si>
    <t xml:space="preserve">Greenhouse (grafanalabs)</t>
  </si>
  <si>
    <t xml:space="preserve">Every UK req has a Spain-remote twin — NO VISA NEEDED</t>
  </si>
  <si>
    <t xml:space="preserve">PROMOTED from B. The single biggest unlock in this list: you can start from San Sebastián with zero immigration process. 7 matching reqs.</t>
  </si>
  <si>
    <t xml:space="preserve">London / US / HK / Singapore</t>
  </si>
  <si>
    <t xml:space="preserve">Finance Tech</t>
  </si>
  <si>
    <t xml:space="preserve">Not stated; routinely sponsors in UK</t>
  </si>
  <si>
    <t xml:space="preserve">HOLD. 4 strong London senior reqs incl. a Developer Experience role. Job pages fetch cleanly.</t>
  </si>
  <si>
    <t xml:space="preserve">Developer Platform</t>
  </si>
  <si>
    <t xml:space="preserve">PROMOTED from B. 4 London/Berlin reqs, all in your lane.</t>
  </si>
  <si>
    <t xml:space="preserve">Not stated; relocation assistance on FDE role</t>
  </si>
  <si>
    <t xml:space="preserve">HOLD. 6 London infra reqs live.</t>
  </si>
  <si>
    <t xml:space="preserve">London / US / HK</t>
  </si>
  <si>
    <t xml:space="preserve">Quant / Trading</t>
  </si>
  <si>
    <t xml:space="preserve">Greenhouse (drweng)</t>
  </si>
  <si>
    <t xml:space="preserve">HOLD. 34 London reqs; 8 match. Developer Experience Engineer is the standout.</t>
  </si>
  <si>
    <t xml:space="preserve">Autonomous / AI</t>
  </si>
  <si>
    <t xml:space="preserve">HOLD. Model Development Platform role is one of the closest fits in the entire search.</t>
  </si>
  <si>
    <t xml:space="preserve">London / US / remote-global</t>
  </si>
  <si>
    <t xml:space="preserve">AI</t>
  </si>
  <si>
    <t xml:space="preserve">Remote-global roles = start from Spain</t>
  </si>
  <si>
    <t xml:space="preserve">HOLD. 3 full-stack reqs, all remote-executable.</t>
  </si>
  <si>
    <t xml:space="preserve">London / US / Dublin / Madrid</t>
  </si>
  <si>
    <t xml:space="preserve">Cloud / Observability</t>
  </si>
  <si>
    <t xml:space="preserve">Greenhouse (datadog)</t>
  </si>
  <si>
    <t xml:space="preserve">Madrid location option = no visa needed</t>
  </si>
  <si>
    <t xml:space="preserve">PROMOTED from B for the Madrid angle.</t>
  </si>
  <si>
    <t xml:space="preserve">Developer/Product Platform</t>
  </si>
  <si>
    <t xml:space="preserve">Greenhouse (figma)</t>
  </si>
  <si>
    <t xml:space="preserve">PROMOTED from B. AI Product role asks 3+ yrs — right level, right domain.</t>
  </si>
  <si>
    <t xml:space="preserve">Investment Banking / Tech</t>
  </si>
  <si>
    <t xml:space="preserve">Radancy → Workday (barclays.wd3)</t>
  </si>
  <si>
    <t xml:space="preserve">EXPLICIT published sponsorship declaration process</t>
  </si>
  <si>
    <t xml:space="preserve">HOLD. 6 London reqs incl. two AI Platform Engineer roles. Only bank with a clear published sponsorship pathway.</t>
  </si>
  <si>
    <t xml:space="preserve">London / US / Toronto</t>
  </si>
  <si>
    <t xml:space="preserve">Big Tech</t>
  </si>
  <si>
    <t xml:space="preserve">amazon.jobs (iCIMS)</t>
  </si>
  <si>
    <t xml:space="preserve">PROMOTED from B. 5 London SDE/Senior SDE reqs, JSON search endpoint makes weekly re-scanning trivial.</t>
  </si>
  <si>
    <t xml:space="preserve">London / HK / US</t>
  </si>
  <si>
    <t xml:space="preserve">Greenhouse (wehrtyou)</t>
  </si>
  <si>
    <t xml:space="preserve">HOLD. 7 London-eligible reqs. Use the API, not their broken filter UI.</t>
  </si>
  <si>
    <t xml:space="preserve">HOLD. Generalist SWE + SRE in London, no seniority label.</t>
  </si>
  <si>
    <t xml:space="preserve">HOLD. 700+ LeetCode is exactly their screen. Referrals barely matter here — apply cold and prep.</t>
  </si>
  <si>
    <t xml:space="preserve">HOLD (was duplicated twice in the old sheet — de-duped).</t>
  </si>
  <si>
    <t xml:space="preserve">London / Amsterdam / US</t>
  </si>
  <si>
    <t xml:space="preserve">HOLD. 3 London tech reqs, explicitly experienced-level.</t>
  </si>
  <si>
    <t xml:space="preserve">Greenhouse (towerresearchcapital)</t>
  </si>
  <si>
    <t xml:space="preserve">PROMOTED from B — has a Senior SWE Development Tools req that matches your story.</t>
  </si>
  <si>
    <t xml:space="preserve">Greenhouse (xtxmarketstechnologies)</t>
  </si>
  <si>
    <t xml:space="preserve">ADDED — was missing from your sheet. Major London quant firm, 2 matching reqs.</t>
  </si>
  <si>
    <t xml:space="preserve">Greenhouse (jumptrading)</t>
  </si>
  <si>
    <t xml:space="preserve">Hiring an in-house Immigration Partner in London — strong sponsor signal</t>
  </si>
  <si>
    <t xml:space="preserve">HOLD.</t>
  </si>
  <si>
    <t xml:space="preserve">Data / AI Platform</t>
  </si>
  <si>
    <t xml:space="preserve">B+</t>
  </si>
  <si>
    <t xml:space="preserve">Greenhouse (databricks)</t>
  </si>
  <si>
    <t xml:space="preserve">SLIGHT DEMOTE. London roles are solutions/delivery, not core engineering. Amsterdam FDE AI Engineer is the real match.</t>
  </si>
  <si>
    <t xml:space="preserve">Greenhouse (xai)</t>
  </si>
  <si>
    <t xml:space="preserve">HOLD-ish. 4 London reqs; Sandbox Service is the standout.</t>
  </si>
  <si>
    <t xml:space="preserve">London / US / Berlin</t>
  </si>
  <si>
    <t xml:space="preserve">AI Search</t>
  </si>
  <si>
    <t xml:space="preserve">HOLD. 3 London-eligible backend reqs.</t>
  </si>
  <si>
    <t xml:space="preserve">AI Infrastructure</t>
  </si>
  <si>
    <t xml:space="preserve">Greenhouse (scaleai)</t>
  </si>
  <si>
    <t xml:space="preserve">HOLD. 6 London reqs.</t>
  </si>
  <si>
    <t xml:space="preserve">Greenhouse (togetherai)</t>
  </si>
  <si>
    <t xml:space="preserve">NL sponsorship question on Amsterdam reqs</t>
  </si>
  <si>
    <t xml:space="preserve">PROMOTED from B. 5 EU/UK infra reqs — more European presence than the old sheet assumed.</t>
  </si>
  <si>
    <t xml:space="preserve">London / Zurich / US</t>
  </si>
  <si>
    <t xml:space="preserve">Big Tech / AI</t>
  </si>
  <si>
    <t xml:space="preserve">DEMOTED slightly for London (thin matching reqs) but ZURICH IS LIVE — 6 matching reqs. Retarget Google at Zurich, not London.</t>
  </si>
  <si>
    <t xml:space="preserve">Zurich / London / US</t>
  </si>
  <si>
    <t xml:space="preserve">Workday (nvidia.wd5)</t>
  </si>
  <si>
    <t xml:space="preserve">Zurich DGX Cloud SRE is live and a good fit.</t>
  </si>
  <si>
    <t xml:space="preserve">DEMOTED. Only matching London req asks 8+ yrs. Revisit in 18 months.</t>
  </si>
  <si>
    <t xml:space="preserve">US / London</t>
  </si>
  <si>
    <t xml:space="preserve">AI Developer Tools</t>
  </si>
  <si>
    <t xml:space="preserve">Unverified</t>
  </si>
  <si>
    <t xml:space="preserve">DEMOTED reluctantly — the perfect-fit engineering roles are SF/NY only; London has FDE/GTM. Check the FDE role manually.</t>
  </si>
  <si>
    <t xml:space="preserve">Munich / MADRID / London</t>
  </si>
  <si>
    <t xml:space="preserve">Enterprise AI / Data</t>
  </si>
  <si>
    <t xml:space="preserve">Greenhouse (celonis)</t>
  </si>
  <si>
    <t xml:space="preserve">Madrid role = no visa needed</t>
  </si>
  <si>
    <t xml:space="preserve">PROMOTED for the Madrid req.</t>
  </si>
  <si>
    <t xml:space="preserve">Spain / Ireland / US</t>
  </si>
  <si>
    <t xml:space="preserve">Search / Cloud</t>
  </si>
  <si>
    <t xml:space="preserve">Greenhouse (elastic)</t>
  </si>
  <si>
    <t xml:space="preserve">Spain-based req = no visa needed</t>
  </si>
  <si>
    <t xml:space="preserve">PROMOTED for the Spain angle.</t>
  </si>
  <si>
    <t xml:space="preserve">EMEA Remote / Paris</t>
  </si>
  <si>
    <t xml:space="preserve">AI / Developer Platform</t>
  </si>
  <si>
    <t xml:space="preserve">EMEA remote = no visa needed</t>
  </si>
  <si>
    <t xml:space="preserve">HOLD. 3 EMEA-remote reqs.</t>
  </si>
  <si>
    <t xml:space="preserve">Dublin / London / US</t>
  </si>
  <si>
    <t xml:space="preserve">Data Platform</t>
  </si>
  <si>
    <t xml:space="preserve">Greenhouse (mongodb)</t>
  </si>
  <si>
    <t xml:space="preserve">HOLD. Dublin observability req is a fit.</t>
  </si>
  <si>
    <t xml:space="preserve">Amsterdam / London</t>
  </si>
  <si>
    <t xml:space="preserve">Greenhouse (adyen)</t>
  </si>
  <si>
    <t xml:space="preserve">Not stated; office-first, no remote</t>
  </si>
  <si>
    <t xml:space="preserve">HOLD. Observability req is a great fit but asks 10+ yrs.</t>
  </si>
  <si>
    <t xml:space="preserve">Amsterdam / London / HK</t>
  </si>
  <si>
    <t xml:space="preserve">Trading / Tech</t>
  </si>
  <si>
    <t xml:space="preserve">Greenhouse (flowtraders)</t>
  </si>
  <si>
    <t xml:space="preserve">PROMOTED for the explicit sponsorship language.</t>
  </si>
  <si>
    <t xml:space="preserve">HOLD. 4 London VP reqs; Equities Tech has the best stack match.</t>
  </si>
  <si>
    <t xml:space="preserve">Asset Management / Tech</t>
  </si>
  <si>
    <t xml:space="preserve">HOLD. Associate-level reqs are the right band for 4 YOE.</t>
  </si>
  <si>
    <t xml:space="preserve">SIG</t>
  </si>
  <si>
    <t xml:space="preserve">DEMOTED for London (grad-only) — Dublin SRE is the live European match.</t>
  </si>
  <si>
    <t xml:space="preserve">London / Frankfurt</t>
  </si>
  <si>
    <t xml:space="preserve">Workday (db.wd3)</t>
  </si>
  <si>
    <t xml:space="preserve">HOLD. Only niche reqs (kdb+, PL/SQL) currently open in London.</t>
  </si>
  <si>
    <t xml:space="preserve">Collaboration Tech</t>
  </si>
  <si>
    <t xml:space="preserve">London / remote-EU</t>
  </si>
  <si>
    <t xml:space="preserve">Remote-EU via OysterHR</t>
  </si>
  <si>
    <t xml:space="preserve">DEMOTED. Only a Principal-level backend req open.</t>
  </si>
  <si>
    <t xml:space="preserve">AI / Legal Tech</t>
  </si>
  <si>
    <t xml:space="preserve">Relocation offered on SF role</t>
  </si>
  <si>
    <t xml:space="preserve">HOLD. No London engineering req right now.</t>
  </si>
  <si>
    <t xml:space="preserve">C</t>
  </si>
  <si>
    <t xml:space="preserve">US-only; previously blocked you on UK sponsorship</t>
  </si>
  <si>
    <t xml:space="preserve">DEMOTED TO C. Domain fit is perfect, geography is not. Revisit only if they open EU.</t>
  </si>
  <si>
    <t xml:space="preserve">UK / US</t>
  </si>
  <si>
    <t xml:space="preserve">Engineering roles are North-America-only</t>
  </si>
  <si>
    <t xml:space="preserve">DEMOTED. Only a UK Developer Success role, which is a step sideways.</t>
  </si>
  <si>
    <t xml:space="preserve">HOLD at C.</t>
  </si>
  <si>
    <t xml:space="preserve">Fireworks AI</t>
  </si>
  <si>
    <t xml:space="preserve">HOLD at C. US-only.</t>
  </si>
  <si>
    <t xml:space="preserve">Germany / US</t>
  </si>
  <si>
    <t xml:space="preserve">HOLD at C. Freiburg/SF only.</t>
  </si>
  <si>
    <t xml:space="preserve">Germany / UK</t>
  </si>
  <si>
    <t xml:space="preserve">AI / Defence</t>
  </si>
  <si>
    <t xml:space="preserve">No sponsorship; right-to-work required; clearance questions</t>
  </si>
  <si>
    <t xml:space="preserve">DEMOTED TO C. Defence clearance requirements make this a poor use of effort as a non-EU/UK national.</t>
  </si>
  <si>
    <t xml:space="preserve">DEMOTED. Open req posts £68–87.5k — below your ~€115k baseline. Violates your own search principle.</t>
  </si>
  <si>
    <t xml:space="preserve">Wiz</t>
  </si>
  <si>
    <t xml:space="preserve">London / US / Israel</t>
  </si>
  <si>
    <t xml:space="preserve">Cybersecurity</t>
  </si>
  <si>
    <t xml:space="preserve">DROP</t>
  </si>
  <si>
    <t xml:space="preserve">Greenhouse (wizinc)</t>
  </si>
  <si>
    <t xml:space="preserve">EXPLICIT: 'This role does not offer visa sponsorship'</t>
  </si>
  <si>
    <t xml:space="preserve">DROP. Both London reqs explicitly bar sponsorship. Do not spend cycles here.</t>
  </si>
  <si>
    <t xml:space="preserve">Cohere</t>
  </si>
  <si>
    <t xml:space="preserve">London / Toronto</t>
  </si>
  <si>
    <t xml:space="preserve">Enterprise AI</t>
  </si>
  <si>
    <t xml:space="preserve">DROP FOR NOW. Their only London MTS posting says verbatim 'This is not a live role' — it's a pipeline req. Whole board is 7 postings.</t>
  </si>
  <si>
    <t xml:space="preserve">DeepL</t>
  </si>
  <si>
    <t xml:space="preserve">DROP FOR NOW. 7 live postings, ZERO engineering. London roles are all sales/CS.</t>
  </si>
  <si>
    <t xml:space="preserve">Checkout.com</t>
  </si>
  <si>
    <t xml:space="preserve">DROP FOR NOW. Careers board returns 'No matching jobs available' across all filters — hiring appears frozen.</t>
  </si>
  <si>
    <t xml:space="preserve">Infrastructure</t>
  </si>
  <si>
    <t xml:space="preserve">Greenhouse (cloudflare)</t>
  </si>
  <si>
    <t xml:space="preserve">DROP FOR NOW. Every indexed London engineering req now 404s. Only legal/sales/marketing reqs open in London.</t>
  </si>
  <si>
    <t xml:space="preserve">Snowflake</t>
  </si>
  <si>
    <t xml:space="preserve">Phenom</t>
  </si>
  <si>
    <t xml:space="preserve">DROP FOR NOW. London is solution-engineering/sales only, no product SWE.</t>
  </si>
  <si>
    <t xml:space="preserve">Netflix</t>
  </si>
  <si>
    <t xml:space="preserve">Big Tech / Media</t>
  </si>
  <si>
    <t xml:space="preserve">Eightfold</t>
  </si>
  <si>
    <t xml:space="preserve">DROP FOR NOW. All 9 open London roles are non-engineering. Same in Amsterdam.</t>
  </si>
  <si>
    <t xml:space="preserve">Apple</t>
  </si>
  <si>
    <t xml:space="preserve">Apple own</t>
  </si>
  <si>
    <t xml:space="preserve">DROP FOR LONDON. All UK technical roles are in CAMBRIDGE, not London. Retarget if Cambridge is acceptable.</t>
  </si>
  <si>
    <t xml:space="preserve">Fintech / Infrastructure</t>
  </si>
  <si>
    <t xml:space="preserve">WATCH</t>
  </si>
  <si>
    <t xml:space="preserve">Stripe own</t>
  </si>
  <si>
    <t xml:space="preserve">WATCH. No London engineering req surfaced; indexed backend reqs are US-remote. Re-check monthly.</t>
  </si>
  <si>
    <t xml:space="preserve">Palo Alto Networks</t>
  </si>
  <si>
    <t xml:space="preserve">DEMOTED. Only an IT Systems Engineer req in London — wrong shape.</t>
  </si>
  <si>
    <t xml:space="preserve">UNVERIFIED</t>
  </si>
  <si>
    <t xml:space="preserve">Microsoft own</t>
  </si>
  <si>
    <t xml:space="preserve">COULD NOT VERIFY — careers site blocks automated access. Check manually; do not assume closed.</t>
  </si>
  <si>
    <t xml:space="preserve">Meta own</t>
  </si>
  <si>
    <t xml:space="preserve">COULD NOT VERIFY — site rate-limited every attempt. Two London Infrastructure SWE reqs appear in search indexes. Check manually.</t>
  </si>
  <si>
    <t xml:space="preserve">Uber</t>
  </si>
  <si>
    <t xml:space="preserve">Technology</t>
  </si>
  <si>
    <t xml:space="preserve">Uber own</t>
  </si>
  <si>
    <t xml:space="preserve">COULD NOT VERIFY — fully JS-rendered. Check manually.</t>
  </si>
  <si>
    <t xml:space="preserve">Confluent</t>
  </si>
  <si>
    <t xml:space="preserve">Data Infrastructure</t>
  </si>
  <si>
    <t xml:space="preserve">Confluent own</t>
  </si>
  <si>
    <t xml:space="preserve">COULD NOT VERIFY — returns 403. Two UK-remote reqs appear in search indexes. Check manually.</t>
  </si>
  <si>
    <t xml:space="preserve">Goldman Sachs</t>
  </si>
  <si>
    <t xml:space="preserve">GS own SPA</t>
  </si>
  <si>
    <t xml:space="preserve">COULD NOT VERIFY at role level — SPA with no server rendering. Four London engineering roles indexed. Check manually.</t>
  </si>
  <si>
    <t xml:space="preserve">JPMorgan</t>
  </si>
  <si>
    <t xml:space="preserve">Oracle Cloud HCM</t>
  </si>
  <si>
    <t xml:space="preserve">COULD NOT VERIFY — API blocked. Check manually.</t>
  </si>
  <si>
    <t xml:space="preserve">Morgan Stanley</t>
  </si>
  <si>
    <t xml:space="preserve">COULD NOT VERIFY — API returns 403. Check manually.</t>
  </si>
  <si>
    <t xml:space="preserve">UBS</t>
  </si>
  <si>
    <t xml:space="preserve">London / Zurich</t>
  </si>
  <si>
    <t xml:space="preserve">IBM BrassRing</t>
  </si>
  <si>
    <t xml:space="preserve">WATCH. The one indexed London Senior SWE req has expired/been filled. JS-only search.</t>
  </si>
  <si>
    <t xml:space="preserve">HSBC</t>
  </si>
  <si>
    <t xml:space="preserve">London / HK / Singapore</t>
  </si>
  <si>
    <t xml:space="preserve">Banking / Tech</t>
  </si>
  <si>
    <t xml:space="preserve">DEMOTED. Only 2 London engineering reqs, neither hands-on IC. NOTE: they moved from mycareer.hsbc.com to portal.careers.hsbc.com.</t>
  </si>
  <si>
    <t xml:space="preserve">IMC Trading</t>
  </si>
  <si>
    <t xml:space="preserve">Greenhouse (imc)</t>
  </si>
  <si>
    <t xml:space="preserve">DEMOTED. No experienced London SWE req — only IT Ops. Amsterdam has C++ SWE if that's in play.</t>
  </si>
  <si>
    <t xml:space="preserve">Five Rings</t>
  </si>
  <si>
    <t xml:space="preserve">Greenhouse (fiveringsllc)</t>
  </si>
  <si>
    <t xml:space="preserve">DEMOTED. London SWE is campus-2027 only; the one experienced req is Linux sysadmin.</t>
  </si>
  <si>
    <t xml:space="preserve">Citadel Securities</t>
  </si>
  <si>
    <t xml:space="preserve">ADDED (separate entity from Citadel). 82 reqs live but the only London engineering one is a graduate req.</t>
  </si>
  <si>
    <t xml:space="preserve">Bank of America</t>
  </si>
  <si>
    <t xml:space="preserve">NOT RESEARCHED this pass — lower priority than Barclays/Citi/BlackRock.</t>
  </si>
  <si>
    <t xml:space="preserve">BNP Paribas</t>
  </si>
  <si>
    <t xml:space="preserve">London / Paris</t>
  </si>
  <si>
    <t xml:space="preserve">NOT RESEARCHED this pass.</t>
  </si>
  <si>
    <t xml:space="preserve">Standard Chartered</t>
  </si>
  <si>
    <t xml:space="preserve">Revolut</t>
  </si>
  <si>
    <t xml:space="preserve">Revolut own</t>
  </si>
  <si>
    <t xml:space="preserve">WATCH. 27 engineering reqs open but filtered URLs are robots-blocked — check manually. Known for a punishing interview process and high attrition; weigh against your search principle.</t>
  </si>
  <si>
    <t xml:space="preserve">Mistral AI</t>
  </si>
  <si>
    <t xml:space="preserve">Paris / London</t>
  </si>
  <si>
    <t xml:space="preserve">WATCH — CONFLICTING DATA. Official Ashby board has 9 postings, only a new-grad SWE. A stale Lever board still renders ~20 engineering titles but the API returns empty. Check manually — if those Lever roles are live, Mistral jumps to A.</t>
  </si>
  <si>
    <t xml:space="preserve">Weights &amp; Biases</t>
  </si>
  <si>
    <t xml:space="preserve">ML Platform</t>
  </si>
  <si>
    <t xml:space="preserve">Greenhouse (via CoreWeave)</t>
  </si>
  <si>
    <t xml:space="preserve">UNVERIFIED. W&amp;B absorbed into CoreWeave; board returns 403. Two roles appear in search indexes. Check manually.</t>
  </si>
  <si>
    <t xml:space="preserve">Shopify</t>
  </si>
  <si>
    <t xml:space="preserve">Toronto / London</t>
  </si>
  <si>
    <t xml:space="preserve">NOT RESEARCHED this pass — Canada track.</t>
  </si>
  <si>
    <t xml:space="preserve">Tenstorrent</t>
  </si>
  <si>
    <t xml:space="preserve">Toronto / US</t>
  </si>
  <si>
    <t xml:space="preserve">AI Hardware</t>
  </si>
  <si>
    <t xml:space="preserve">NOT RESEARCHED — Canada track.</t>
  </si>
  <si>
    <t xml:space="preserve">Waabi</t>
  </si>
  <si>
    <t xml:space="preserve">Toronto</t>
  </si>
  <si>
    <t xml:space="preserve">Autonomous AI</t>
  </si>
  <si>
    <t xml:space="preserve">Xanadu</t>
  </si>
  <si>
    <t xml:space="preserve">Quantum / AI</t>
  </si>
  <si>
    <t xml:space="preserve">NOT RESEARCHED — Canada track. Note: quantum adjacency to your Multiverse background is a real story here.</t>
  </si>
  <si>
    <t xml:space="preserve">Microsoft Research</t>
  </si>
  <si>
    <t xml:space="preserve">Cambridge / London / US</t>
  </si>
  <si>
    <t xml:space="preserve">Research</t>
  </si>
  <si>
    <t xml:space="preserve">Salesforce</t>
  </si>
  <si>
    <t xml:space="preserve">Enterprise Tech</t>
  </si>
  <si>
    <t xml:space="preserve">Replicate</t>
  </si>
  <si>
    <t xml:space="preserve">AI Platform</t>
  </si>
  <si>
    <t xml:space="preserve">NOT RESEARCHED — US-only.</t>
  </si>
  <si>
    <t xml:space="preserve">ASML</t>
  </si>
  <si>
    <t xml:space="preserve">Netherlands</t>
  </si>
  <si>
    <t xml:space="preserve">Semiconductors / Systems</t>
  </si>
  <si>
    <t xml:space="preserve">NOT RESEARCHED. Weak fit for your profile.</t>
  </si>
  <si>
    <t xml:space="preserve">ByteDance</t>
  </si>
  <si>
    <t xml:space="preserve">London / Singapore / US</t>
  </si>
  <si>
    <t xml:space="preserve">AI / Consumer Tech</t>
  </si>
  <si>
    <t xml:space="preserve">NOT RESEARCHED this pass. Reconsider tier — London hiring is real but process is opaque.</t>
  </si>
  <si>
    <t xml:space="preserve">Humanoid</t>
  </si>
  <si>
    <t xml:space="preserve">Robotics / AI</t>
  </si>
  <si>
    <t xml:space="preserve">NOT RESEARCHED. Very early-stage; verify it still exists and is funded before spending time.</t>
  </si>
  <si>
    <t xml:space="preserve">G42</t>
  </si>
  <si>
    <t xml:space="preserve">Abu Dhabi</t>
  </si>
  <si>
    <t xml:space="preserve">Opportunistic only, per your own note.</t>
  </si>
  <si>
    <t xml:space="preserve">Core42</t>
  </si>
  <si>
    <t xml:space="preserve">Opportunistic only.</t>
  </si>
  <si>
    <t xml:space="preserve">AI71</t>
  </si>
  <si>
    <t xml:space="preserve">Grab</t>
  </si>
  <si>
    <t xml:space="preserve">Singapore</t>
  </si>
  <si>
    <t xml:space="preserve">Asia track — not researched this pass.</t>
  </si>
  <si>
    <t xml:space="preserve">Sea</t>
  </si>
  <si>
    <t xml:space="preserve">Technology / Fintech</t>
  </si>
  <si>
    <t xml:space="preserve">Asia track — not researched.</t>
  </si>
  <si>
    <t xml:space="preserve">Alibaba</t>
  </si>
  <si>
    <t xml:space="preserve">Hong Kong / Singapore</t>
  </si>
  <si>
    <t xml:space="preserve">Technology / AI</t>
  </si>
  <si>
    <t xml:space="preserve">Tencent</t>
  </si>
  <si>
    <t xml:space="preserve">Hong Kong</t>
  </si>
  <si>
    <t xml:space="preserve">Ant Group</t>
  </si>
  <si>
    <t xml:space="preserve">Fintech / AI</t>
  </si>
  <si>
    <t xml:space="preserve">Google Hong Kong</t>
  </si>
  <si>
    <t xml:space="preserve">Asia track. Same board as Google — filter by location.</t>
  </si>
  <si>
    <t xml:space="preserve">Google Singapore</t>
  </si>
  <si>
    <t xml:space="preserve">Asia track.</t>
  </si>
  <si>
    <t xml:space="preserve">Meta Singapore</t>
  </si>
  <si>
    <t xml:space="preserve">NVIDIA Singapore</t>
  </si>
  <si>
    <t xml:space="preserve">Microsoft Singapore</t>
  </si>
  <si>
    <t xml:space="preserve">Amazon Singapore</t>
  </si>
  <si>
    <t xml:space="preserve">Google Zurich</t>
  </si>
  <si>
    <t xml:space="preserve">Zurich</t>
  </si>
  <si>
    <t xml:space="preserve">A-</t>
  </si>
  <si>
    <t xml:space="preserve">CONFIRMED LIVE — 6 matching reqs. This is the real Google opportunity, not London.</t>
  </si>
  <si>
    <t xml:space="preserve">Meta Zurich</t>
  </si>
  <si>
    <t xml:space="preserve">Could not verify — site rate-limited.</t>
  </si>
  <si>
    <t xml:space="preserve">Microsoft Zurich</t>
  </si>
  <si>
    <t xml:space="preserve">Could not verify.</t>
  </si>
  <si>
    <t xml:space="preserve">NVIDIA Zurich</t>
  </si>
  <si>
    <t xml:space="preserve">CONFIRMED — DGX Cloud Senior SRE req live.</t>
  </si>
  <si>
    <t xml:space="preserve">Disney Research</t>
  </si>
  <si>
    <t xml:space="preserve">Research / AI</t>
  </si>
  <si>
    <t xml:space="preserve">Research-heavy, weak fit.</t>
  </si>
  <si>
    <t xml:space="preserve">IBM Research Zurich</t>
  </si>
  <si>
    <t xml:space="preserve">IBM own</t>
  </si>
  <si>
    <t xml:space="preserve">Date sent</t>
  </si>
  <si>
    <t xml:space="preserve">Person</t>
  </si>
  <si>
    <t xml:space="preserve">Their role</t>
  </si>
  <si>
    <t xml:space="preserve">How found (alum / LinkedIn / HN / Slack)</t>
  </si>
  <si>
    <t xml:space="preserve">Channel (LinkedIn DM / email / Slack)</t>
  </si>
  <si>
    <t xml:space="preserve">Ask (referral / intro / advice)</t>
  </si>
  <si>
    <t xml:space="preserve">Req ID referenced</t>
  </si>
  <si>
    <t xml:space="preserve">Template used</t>
  </si>
  <si>
    <t xml:space="preserve">Replied?</t>
  </si>
  <si>
    <t xml:space="preserve">Reply date</t>
  </si>
  <si>
    <t xml:space="preserve">Outcome</t>
  </si>
  <si>
    <t xml:space="preserve">Follow-up due</t>
  </si>
  <si>
    <t xml:space="preserve">2026-09-01</t>
  </si>
  <si>
    <t xml:space="preserve">(example) Priya N.</t>
  </si>
  <si>
    <t xml:space="preserve">Senior Backend Engineer</t>
  </si>
  <si>
    <t xml:space="preserve">LinkedIn Alumni tool — IIIT-Delhi filter</t>
  </si>
  <si>
    <t xml:space="preserve">LinkedIn DM</t>
  </si>
  <si>
    <t xml:space="preserve">Referral</t>
  </si>
  <si>
    <t xml:space="preserve">T2 — Alum referral ask</t>
  </si>
  <si>
    <t xml:space="preserve">No</t>
  </si>
  <si>
    <t xml:space="preserve">Awaiting</t>
  </si>
  <si>
    <t xml:space="preserve">2026-09-08</t>
  </si>
  <si>
    <t xml:space="preserve">Mentioned her Kafka migration post</t>
  </si>
  <si>
    <t xml:space="preserve">Goal</t>
  </si>
  <si>
    <t xml:space="preserve">Career ceiling + immigration optionality + eventual entrepreneurship</t>
  </si>
  <si>
    <t xml:space="preserve">Current baseline</t>
  </si>
  <si>
    <t xml:space="preserve">Senior Software Engineer (SDE3), Multiverse Computing; ~4 YOE; ~EUR 115k equivalent</t>
  </si>
  <si>
    <t xml:space="preserve">Search principle</t>
  </si>
  <si>
    <t xml:space="preserve">Do not leave a ~EUR 115k baseline for a mediocre role. Require a step-function in brand, scope, compensation, immigration, or network.</t>
  </si>
  <si>
    <t xml:space="preserve">REVISED GEOGRAPHY ORDER (changed 28 Aug 2026)</t>
  </si>
  <si>
    <t xml:space="preserve">1. Spain / EU-remote</t>
  </si>
  <si>
    <t xml:space="preserve">NEW TOP PRIORITY. Not because it is the ambition, but because it is the only track with zero immigration friction and it is genuinely available right now: Grafana (Spain twin of every req), Datadog Madrid, Celonis Madrid, Elastic Spain, Hugging Face EMEA-remote, ElevenLabs remote-global. Land one of these and you negotiate from employed strength, not from a deadline.</t>
  </si>
  <si>
    <t xml:space="preserve">2. London</t>
  </si>
  <si>
    <t xml:space="preserve">Still the primary ambition. Strongest verified sponsors: Monzo, G-Research, Anthropic, Barclays. Deepest pool of matching reqs: Palantir (9), G-Research (8), DRW (8), Bloomberg (4).</t>
  </si>
  <si>
    <t xml:space="preserve">3. Zurich</t>
  </si>
  <si>
    <t xml:space="preserve">Confirmed live and underrated — Google Zurich has 6 matching reqs vs near-zero matching in Google London. NVIDIA Zurich DGX Cloud SRE is open. Retarget Google/NVIDIA at Zurich, not London.</t>
  </si>
  <si>
    <t xml:space="preserve">4. Amsterdam / Dublin</t>
  </si>
  <si>
    <t xml:space="preserve">Real secondary EU pool: Together AI, Adyen, Databricks FDE, Flow Traders (explicit sponsorship), MongoDB Dublin, SIG Dublin.</t>
  </si>
  <si>
    <t xml:space="preserve">5. US</t>
  </si>
  <si>
    <t xml:space="preserve">Upside only. Sponsorship + lottery constraints mean this cannot be the plan. Apply where remote-eligible.</t>
  </si>
  <si>
    <t xml:space="preserve">6. Canada / HK / Singapore</t>
  </si>
  <si>
    <t xml:space="preserve">Not researched this pass. Reopen only if the London and EU tracks stall by November.</t>
  </si>
  <si>
    <t xml:space="preserve">LEVEL REALITY CHECK</t>
  </si>
  <si>
    <t xml:space="preserve">Your band</t>
  </si>
  <si>
    <t xml:space="preserve">Senior / SWE III / Associate-VP. You were promoted to SDE3 in Nov 2025, so at Aug 2026 you have ~9 months at senior and ~4 years total.</t>
  </si>
  <si>
    <t xml:space="preserve">Where you are a stretch</t>
  </si>
  <si>
    <t xml:space="preserve">Every Anthropic London req is Staff or Staff+. DeepMind's agentic-tooling role asks 8+ yrs. Adyen observability asks 10+. Grafana Databases SRE asks 8+. Apply to the best 2-3 of these, but do not build the plan on them.</t>
  </si>
  <si>
    <t xml:space="preserve">Where the level is exactly right</t>
  </si>
  <si>
    <t xml:space="preserve">Palantir Apollo ('open to all levels'), Palantir Substrate (4+ yrs), Figma AI Product (3+ yrs), Monzo Senior/L50, BlackRock Associate, Citadel and Jane Street generalist SWE (no seniority label).</t>
  </si>
  <si>
    <t xml:space="preserve">PROCESS TARGETS</t>
  </si>
  <si>
    <t xml:space="preserve">Applications</t>
  </si>
  <si>
    <t xml:space="preserve">Wave 1 (27 roles) by 5 Sep. Wave 2 (70 roles) by 26 Sep. Then 8-10 new applications per week on a rolling basis.</t>
  </si>
  <si>
    <t xml:space="preserve">Outreach</t>
  </si>
  <si>
    <t xml:space="preserve">10 alumni / warm messages per week, logged. Quality over volume — 10 thoughtful beats 100 templated.</t>
  </si>
  <si>
    <t xml:space="preserve">Expected conversion</t>
  </si>
  <si>
    <t xml:space="preserve">Referral apply-to-hire runs ~28% vs ~2-5% for cold job-board applications (2026 referral benchmark data). But that 28% belongs to WARM referrals from someone who can describe your work. A stranger clicking 'refer' in an ATS is worth very little.</t>
  </si>
  <si>
    <t xml:space="preserve">Interview prep</t>
  </si>
  <si>
    <t xml:space="preserve">Your prep folder shows 178/199 LeetCode and 1 of 6-8 system designs done. The quant track (Jane Street, Citadel, HRT, Optiver) is decided almost entirely by the screen, not the pipeline — that is where prep hours convert best.</t>
  </si>
  <si>
    <t xml:space="preserve">Topic</t>
  </si>
  <si>
    <t xml:space="preserve">Source / detail</t>
  </si>
  <si>
    <t xml:space="preserve">UK Global Talent overview</t>
  </si>
  <si>
    <t xml:space="preserve">https://www.gov.uk/global-talent</t>
  </si>
  <si>
    <t xml:space="preserve">UK Global Talent immigration rules</t>
  </si>
  <si>
    <t xml:space="preserve">https://www.gov.uk/guidance/immigration-rules/immigration-rules-appendix-global-talent</t>
  </si>
  <si>
    <t xml:space="preserve">UK register of licensed sponsors</t>
  </si>
  <si>
    <t xml:space="preserve">https://www.gov.uk/government/publications/register-of-licensed-sponsors-workers</t>
  </si>
  <si>
    <t xml:space="preserve">Register CSV (edition dated 28 Aug 2026, ~10MB)</t>
  </si>
  <si>
    <t xml:space="preserve">https://assets.publishing.service.gov.uk/media/6a91566801bbff0bf8f97b48/SP_-_Worker_and_Temporary_Worker_Web_Register_-_2026-08-28.csv</t>
  </si>
  <si>
    <t xml:space="preserve">UK settlement / ILR</t>
  </si>
  <si>
    <t xml:space="preserve">https://www.gov.uk/indefinite-leave-to-remain-business-investor-global-talent/eligibility</t>
  </si>
  <si>
    <t xml:space="preserve">IMPORTANT CAVEAT</t>
  </si>
  <si>
    <t xml:space="preserve">I could NOT verify individual employers against the sponsor register this pass — the CSV is ~10MB and alphabetical and the fetch truncates inside the 'A' entries. Download it yourself and search it locally; it is the only authoritative source.</t>
  </si>
  <si>
    <t xml:space="preserve">Better signal than the register</t>
  </si>
  <si>
    <t xml:space="preserve">Role-specific sponsorship language on the posting itself. Register membership only means the employer CAN sponsor, not that they WILL for this req.</t>
  </si>
  <si>
    <t xml:space="preserve">Global Talent is your strongest card</t>
  </si>
  <si>
    <t xml:space="preserve">It needs no employer sponsor, which removes the hiring manager's main objection. If you are pursuing it, say so in the first line of every outreach message — it converts you from 'sponsorship hassle' to 'can start immediately'. Route: Tech Nation-style endorsement via the digital technology route, then visa application. Verify the current endorsing body and criteria on gov.uk before relying on this.</t>
  </si>
  <si>
    <t xml:space="preserve">Job discovery — reusable board APIs</t>
  </si>
  <si>
    <t xml:space="preserve">Greenhouse (any company)</t>
  </si>
  <si>
    <t xml:space="preserve">https://boards-api.greenhouse.io/v1/boards/{token}/jobs — tokens: monzo, grafanalabs, anthropic, figma, datadog, mongodb, celonis, adyen, scaleai, togetherai, xai, drweng, wehrtyou (HRT), jumptrading, towerresearchcapital, flowtraders, imc, fiveringsllc, xtxmarketstechnologies, databricks, cloudflare, elastic, wizinc</t>
  </si>
  <si>
    <t xml:space="preserve">https://api.lever.co/v0/postings/{token} — palantir</t>
  </si>
  <si>
    <t xml:space="preserve">https://jobs.ashbyhq.com/{token} — elevenlabs, perplexity, synthesia, harvey, langchain, livekit, runway-ml, fireworks, cohere, mistral.ai</t>
  </si>
  <si>
    <t xml:space="preserve">Amazon JSON search</t>
  </si>
  <si>
    <t xml:space="preserve">https://www.amazon.jobs/en/search.json?base_query=software+development+engineer&amp;loc_query=London,+United+Kingdom&amp;country=GBR</t>
  </si>
  <si>
    <t xml:space="preserve">Google careers (server-rendered, fetchable)</t>
  </si>
  <si>
    <t xml:space="preserve">https://www.google.com/about/careers/applications/jobs/results?q=software+engineer&amp;location=Zurich,+Switzerland</t>
  </si>
  <si>
    <t xml:space="preserve">Netflix JSON API</t>
  </si>
  <si>
    <t xml:space="preserve">https://explore.jobs.netflix.net/api/apply/v2/jobs?domain=netflix.com&amp;location=London,%20England,%20United%20Kingdom</t>
  </si>
  <si>
    <t xml:space="preserve">Boards that block automated checks</t>
  </si>
  <si>
    <t xml:space="preserve">Microsoft, Meta, Uber, Confluent, Goldman Sachs, JPMorgan, Morgan Stanley, Revolut, CoreWeave/W&amp;B. These need a manual browser check — they are marked UNVERIFIED on the Target Companies tab, which means unknown, not closed.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</si>
</sst>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A9D08E"/>
        <bgColor rgb="FFC6E0B4"/>
      </patternFill>
    </fill>
    <fill>
      <patternFill patternType="solid">
        <fgColor rgb="FFD9EAD3"/>
        <bgColor rgb="FFDEEBF7"/>
      </patternFill>
    </fill>
    <fill>
      <patternFill patternType="solid">
        <fgColor rgb="FFFFE699"/>
        <bgColor rgb="FFFCE5CD"/>
      </patternFill>
    </fill>
    <fill>
      <patternFill patternType="solid">
        <fgColor rgb="FFC6E0B4"/>
        <bgColor rgb="FFD9EAD3"/>
      </patternFill>
    </fill>
    <fill>
      <patternFill patternType="solid">
        <fgColor rgb="FFF4CCCC"/>
        <bgColor rgb="FFD9D9D9"/>
      </patternFill>
    </fill>
    <fill>
      <patternFill patternType="solid">
        <fgColor rgb="FFF2F2F2"/>
        <bgColor rgb="FFDEEBF7"/>
      </patternFill>
    </fill>
    <fill>
      <patternFill patternType="solid">
        <fgColor rgb="FFFFF2CC"/>
        <bgColor rgb="FFFCE5CD"/>
      </patternFill>
    </fill>
    <fill>
      <patternFill patternType="solid">
        <fgColor rgb="FFDEEBF7"/>
        <bgColor rgb="FFD9EAD3"/>
      </patternFill>
    </fill>
    <fill>
      <patternFill patternType="solid">
        <fgColor rgb="FFFCE5C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2CC"/>
      <rgbColor rgb="FFDE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FE699"/>
      <rgbColor rgb="FFC6E0B4"/>
      <rgbColor rgb="FFFCE5CD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job-boards.greenhouse.io/anthropic/jobs/5211498008" TargetMode="External"/><Relationship Id="rId2" Type="http://schemas.openxmlformats.org/officeDocument/2006/relationships/hyperlink" Target="https://job-boards.greenhouse.io/anthropic/jobs/5387083008" TargetMode="External"/><Relationship Id="rId3" Type="http://schemas.openxmlformats.org/officeDocument/2006/relationships/hyperlink" Target="https://job-boards.greenhouse.io/anthropic/jobs/5073998008" TargetMode="External"/><Relationship Id="rId4" Type="http://schemas.openxmlformats.org/officeDocument/2006/relationships/hyperlink" Target="https://job-boards.greenhouse.io/anthropic/jobs/5211305008" TargetMode="External"/><Relationship Id="rId5" Type="http://schemas.openxmlformats.org/officeDocument/2006/relationships/hyperlink" Target="https://job-boards.greenhouse.io/anthropic/jobs/5394948008" TargetMode="External"/><Relationship Id="rId6" Type="http://schemas.openxmlformats.org/officeDocument/2006/relationships/hyperlink" Target="https://job-boards.greenhouse.io/anthropic/jobs/5074908008" TargetMode="External"/><Relationship Id="rId7" Type="http://schemas.openxmlformats.org/officeDocument/2006/relationships/hyperlink" Target="https://www.citadel.com/careers/details/site-reliability-engineer/" TargetMode="External"/><Relationship Id="rId8" Type="http://schemas.openxmlformats.org/officeDocument/2006/relationships/hyperlink" Target="https://www.citadel.com/careers/details/software-engineer/" TargetMode="External"/><Relationship Id="rId9" Type="http://schemas.openxmlformats.org/officeDocument/2006/relationships/hyperlink" Target="https://www.google.com/about/careers/applications/jobs/results/133344999289823942-senior-staff-software-engineer-agentic-data-tooling-deepmind" TargetMode="External"/><Relationship Id="rId10" Type="http://schemas.openxmlformats.org/officeDocument/2006/relationships/hyperlink" Target="https://www.hudsonrivertrading.com/careers/job/?gh_jid=8060295" TargetMode="External"/><Relationship Id="rId11" Type="http://schemas.openxmlformats.org/officeDocument/2006/relationships/hyperlink" Target="https://www.hudsonrivertrading.com/careers/job/?gh_jid=7462541" TargetMode="External"/><Relationship Id="rId12" Type="http://schemas.openxmlformats.org/officeDocument/2006/relationships/hyperlink" Target="https://www.hudsonrivertrading.com/careers/job/?gh_jid=7392942" TargetMode="External"/><Relationship Id="rId13" Type="http://schemas.openxmlformats.org/officeDocument/2006/relationships/hyperlink" Target="https://www.hudsonrivertrading.com/careers/job/?gh_jid=6703954" TargetMode="External"/><Relationship Id="rId14" Type="http://schemas.openxmlformats.org/officeDocument/2006/relationships/hyperlink" Target="https://www.hudsonrivertrading.com/careers/job/?gh_jid=7398013" TargetMode="External"/><Relationship Id="rId15" Type="http://schemas.openxmlformats.org/officeDocument/2006/relationships/hyperlink" Target="https://www.janestreet.com/join-jane-street/position/5372886002/" TargetMode="External"/><Relationship Id="rId16" Type="http://schemas.openxmlformats.org/officeDocument/2006/relationships/hyperlink" Target="https://www.janestreet.com/join-jane-street/position/4274814002/" TargetMode="External"/><Relationship Id="rId17" Type="http://schemas.openxmlformats.org/officeDocument/2006/relationships/hyperlink" Target="https://openai.com/careers/forward-deployed-software-engineer-london-london-uk/" TargetMode="External"/><Relationship Id="rId18" Type="http://schemas.openxmlformats.org/officeDocument/2006/relationships/hyperlink" Target="https://openai.com/careers/software-engineer-chatgpt-infrastructure-london-uk/" TargetMode="External"/><Relationship Id="rId19" Type="http://schemas.openxmlformats.org/officeDocument/2006/relationships/hyperlink" Target="https://openai.com/careers/software-engineer-cloud-infrastructure-london-uk/" TargetMode="External"/><Relationship Id="rId20" Type="http://schemas.openxmlformats.org/officeDocument/2006/relationships/hyperlink" Target="https://openai.com/careers/software-engineer-gpu-infrastructure-chatgpt-engineering-london-uk/" TargetMode="External"/><Relationship Id="rId21" Type="http://schemas.openxmlformats.org/officeDocument/2006/relationships/hyperlink" Target="https://openai.com/careers/software-engineer-infrastructure-reliability-london-uk/" TargetMode="External"/><Relationship Id="rId22" Type="http://schemas.openxmlformats.org/officeDocument/2006/relationships/hyperlink" Target="https://openai.com/careers/software-engineer-platform-systems-london-uk/" TargetMode="External"/><Relationship Id="rId23" Type="http://schemas.openxmlformats.org/officeDocument/2006/relationships/hyperlink" Target="https://careers.twosigma.com/careers/JobDetail/London-United-Kingdom-of-Great-Britain-and-Northern-Ireland-Software-Engineer-London/13902" TargetMode="External"/><Relationship Id="rId24" Type="http://schemas.openxmlformats.org/officeDocument/2006/relationships/hyperlink" Target="https://www.amazon.jobs/en/jobs/10406451/senior-software-development-engineer-aws-cloudfront" TargetMode="External"/><Relationship Id="rId25" Type="http://schemas.openxmlformats.org/officeDocument/2006/relationships/hyperlink" Target="https://www.amazon.jobs/en/jobs/10487676/senior-software-development-engineer-data-center-builder-tools" TargetMode="External"/><Relationship Id="rId26" Type="http://schemas.openxmlformats.org/officeDocument/2006/relationships/hyperlink" Target="https://cursor.com/careers/forward-deployed-engineer-emea" TargetMode="External"/><Relationship Id="rId27" Type="http://schemas.openxmlformats.org/officeDocument/2006/relationships/hyperlink" Target="https://cursor.com/careers/solutions-architect-western-europe" TargetMode="External"/><Relationship Id="rId28" Type="http://schemas.openxmlformats.org/officeDocument/2006/relationships/hyperlink" Target="https://job-boards.greenhouse.io/drweng/jobs/6586048" TargetMode="External"/><Relationship Id="rId29" Type="http://schemas.openxmlformats.org/officeDocument/2006/relationships/hyperlink" Target="https://job-boards.greenhouse.io/drweng/jobs/8126077" TargetMode="External"/><Relationship Id="rId30" Type="http://schemas.openxmlformats.org/officeDocument/2006/relationships/hyperlink" Target="https://job-boards.greenhouse.io/drweng/jobs/7918653" TargetMode="External"/><Relationship Id="rId31" Type="http://schemas.openxmlformats.org/officeDocument/2006/relationships/hyperlink" Target="https://job-boards.greenhouse.io/drweng/jobs/8103440" TargetMode="External"/><Relationship Id="rId32" Type="http://schemas.openxmlformats.org/officeDocument/2006/relationships/hyperlink" Target="https://job-boards.greenhouse.io/drweng/jobs/7534910" TargetMode="External"/><Relationship Id="rId33" Type="http://schemas.openxmlformats.org/officeDocument/2006/relationships/hyperlink" Target="https://job-boards.greenhouse.io/drweng/jobs/8096176" TargetMode="External"/><Relationship Id="rId34" Type="http://schemas.openxmlformats.org/officeDocument/2006/relationships/hyperlink" Target="https://job-boards.greenhouse.io/drweng/jobs/7942731" TargetMode="External"/><Relationship Id="rId35" Type="http://schemas.openxmlformats.org/officeDocument/2006/relationships/hyperlink" Target="https://www.databricks.com/company/careers/open-positions/job?gh_jid=8747605002" TargetMode="External"/><Relationship Id="rId36" Type="http://schemas.openxmlformats.org/officeDocument/2006/relationships/hyperlink" Target="https://www.databricks.com/company/careers/open-positions/job?gh_jid=8549681002" TargetMode="External"/><Relationship Id="rId37" Type="http://schemas.openxmlformats.org/officeDocument/2006/relationships/hyperlink" Target="https://jobs.ashbyhq.com/elevenlabs/6a530871-b6c6-4783-ac6b-69cc3b084192" TargetMode="External"/><Relationship Id="rId38" Type="http://schemas.openxmlformats.org/officeDocument/2006/relationships/hyperlink" Target="https://jobs.ashbyhq.com/elevenlabs/c7d59014-b918-4c15-ae33-79f5c9f2cf9f" TargetMode="External"/><Relationship Id="rId39" Type="http://schemas.openxmlformats.org/officeDocument/2006/relationships/hyperlink" Target="https://jobs.ashbyhq.com/elevenlabs/ada7cd2c-8b9f-4f19-a88b-7c2ca1be1fde" TargetMode="External"/><Relationship Id="rId40" Type="http://schemas.openxmlformats.org/officeDocument/2006/relationships/hyperlink" Target="https://job-boards.greenhouse.io/figma/jobs/5551697004" TargetMode="External"/><Relationship Id="rId41" Type="http://schemas.openxmlformats.org/officeDocument/2006/relationships/hyperlink" Target="https://job-boards.greenhouse.io/figma/jobs/5781928004" TargetMode="External"/><Relationship Id="rId42" Type="http://schemas.openxmlformats.org/officeDocument/2006/relationships/hyperlink" Target="https://gresearch.wd103.myworkdayjobs.com/G-Research/job/London-UK/Analytics-Services-Platform-Engineer_R3409/apply" TargetMode="External"/><Relationship Id="rId43" Type="http://schemas.openxmlformats.org/officeDocument/2006/relationships/hyperlink" Target="https://gresearch.wd103.myworkdayjobs.com/G-Research/job/London-UK/Core-Infrastructure-Engineer_R3698/apply" TargetMode="External"/><Relationship Id="rId44" Type="http://schemas.openxmlformats.org/officeDocument/2006/relationships/hyperlink" Target="https://gresearch.wd103.myworkdayjobs.com/G-Research/job/London-UK/Data-Software-Engineer_R3714/apply" TargetMode="External"/><Relationship Id="rId45" Type="http://schemas.openxmlformats.org/officeDocument/2006/relationships/hyperlink" Target="https://gresearch.wd103.myworkdayjobs.com/G-Research/job/London-UK/Database-Platform-Engineer_R3385-1/apply" TargetMode="External"/><Relationship Id="rId46" Type="http://schemas.openxmlformats.org/officeDocument/2006/relationships/hyperlink" Target="https://gresearch.wd103.myworkdayjobs.com/G-Research/job/London-UK/Kubernetes-Platform-Engineer_R3516/apply" TargetMode="External"/><Relationship Id="rId47" Type="http://schemas.openxmlformats.org/officeDocument/2006/relationships/hyperlink" Target="https://gresearch.wd103.myworkdayjobs.com/G-Research/job/London-UK/Software-Engineer_R3272-1/apply" TargetMode="External"/><Relationship Id="rId48" Type="http://schemas.openxmlformats.org/officeDocument/2006/relationships/hyperlink" Target="https://gresearch.wd103.myworkdayjobs.com/G-Research/job/London-UK/Observability-Engineer_R3387/apply" TargetMode="External"/><Relationship Id="rId49" Type="http://schemas.openxmlformats.org/officeDocument/2006/relationships/hyperlink" Target="https://gresearch.wd103.myworkdayjobs.com/G-Research/job/London-UK/Software-Engineer_R2489/apply" TargetMode="External"/><Relationship Id="rId50" Type="http://schemas.openxmlformats.org/officeDocument/2006/relationships/hyperlink" Target="https://www.google.com/about/careers/applications/jobs/results/115718127626396358-software-engineer-iii-genai-data-operations-research-xr" TargetMode="External"/><Relationship Id="rId51" Type="http://schemas.openxmlformats.org/officeDocument/2006/relationships/hyperlink" Target="https://www.google.com/about/careers/applications/jobs/results/117041926741336774-senior-forward-deployed-engineer-google-cloud-public-sector" TargetMode="External"/><Relationship Id="rId52" Type="http://schemas.openxmlformats.org/officeDocument/2006/relationships/hyperlink" Target="https://www.google.com/about/careers/applications/jobs/results/138255046704800454-senior-software-engineer-full-stack" TargetMode="External"/><Relationship Id="rId53" Type="http://schemas.openxmlformats.org/officeDocument/2006/relationships/hyperlink" Target="https://www.google.com/about/careers/applications/jobs/results/89198715161161798-software-engineer-ii-infrastructure-google-ads" TargetMode="External"/><Relationship Id="rId54" Type="http://schemas.openxmlformats.org/officeDocument/2006/relationships/hyperlink" Target="https://www.google.com/about/careers/applications/jobs/results/124969231094555334-software-engineer-iii-cloud-security" TargetMode="External"/><Relationship Id="rId55" Type="http://schemas.openxmlformats.org/officeDocument/2006/relationships/hyperlink" Target="https://www.google.com/about/careers/applications/jobs/results/115044758895633094-software-engineer-site-reliability-engineering" TargetMode="External"/><Relationship Id="rId56" Type="http://schemas.openxmlformats.org/officeDocument/2006/relationships/hyperlink" Target="https://www.jumptrading.com/hr/job?gh_jid=6004172" TargetMode="External"/><Relationship Id="rId57" Type="http://schemas.openxmlformats.org/officeDocument/2006/relationships/hyperlink" Target="https://www.jumptrading.com/hr/job?gh_jid=7405132" TargetMode="External"/><Relationship Id="rId58" Type="http://schemas.openxmlformats.org/officeDocument/2006/relationships/hyperlink" Target="https://nvidia.wd5.myworkdayjobs.com/en-US/NVIDIAExternalCareerSite/job/Senior-Software-Engineer--Developer-Experience_JR2023498" TargetMode="External"/><Relationship Id="rId59" Type="http://schemas.openxmlformats.org/officeDocument/2006/relationships/hyperlink" Target="https://nvidia.wd5.myworkdayjobs.com/en-US/NVIDIAExternalCareerSite/job/Switzerland-Zurich/Senior-Site-Reliability-Engineer--DGX-Cloud_JR2021427-1" TargetMode="External"/><Relationship Id="rId60" Type="http://schemas.openxmlformats.org/officeDocument/2006/relationships/hyperlink" Target="https://www.optiver.com/join-us/jobs/technology/london/cloud-infrastructure-engineer-digital-assets/apply" TargetMode="External"/><Relationship Id="rId61" Type="http://schemas.openxmlformats.org/officeDocument/2006/relationships/hyperlink" Target="https://www.optiver.com/join-us/jobs/technology/london/software-engineer-digital-assets/" TargetMode="External"/><Relationship Id="rId62" Type="http://schemas.openxmlformats.org/officeDocument/2006/relationships/hyperlink" Target="https://www.optiver.com/join-us/jobs/technology/london/software-engineer-reference-data/" TargetMode="External"/><Relationship Id="rId63" Type="http://schemas.openxmlformats.org/officeDocument/2006/relationships/hyperlink" Target="https://jobs.lever.co/palantir/f70cdff7-c62f-4b73-a136-909e5e3d1891" TargetMode="External"/><Relationship Id="rId64" Type="http://schemas.openxmlformats.org/officeDocument/2006/relationships/hyperlink" Target="https://jobs.lever.co/palantir/fe65ee3c-61e0-4eb6-99e5-c90e38e7043f" TargetMode="External"/><Relationship Id="rId65" Type="http://schemas.openxmlformats.org/officeDocument/2006/relationships/hyperlink" Target="https://jobs.lever.co/palantir/ff1029bd-bb6d-4d78-a03e-5f9744d0b798" TargetMode="External"/><Relationship Id="rId66" Type="http://schemas.openxmlformats.org/officeDocument/2006/relationships/hyperlink" Target="https://jobs.lever.co/palantir/5a99fe16-1bda-4313-ace2-a11ea6e58f0c" TargetMode="External"/><Relationship Id="rId67" Type="http://schemas.openxmlformats.org/officeDocument/2006/relationships/hyperlink" Target="https://jobs.lever.co/palantir/5168e8fd-fec1-4fea-b7a1-81bdaea65850" TargetMode="External"/><Relationship Id="rId68" Type="http://schemas.openxmlformats.org/officeDocument/2006/relationships/hyperlink" Target="https://jobs.lever.co/palantir/a92b55d0-1d36-4884-8e65-f456450b3a74" TargetMode="External"/><Relationship Id="rId69" Type="http://schemas.openxmlformats.org/officeDocument/2006/relationships/hyperlink" Target="https://jobs.lever.co/palantir/2cd25c0b-088d-4a5c-9b96-1165a33fe652" TargetMode="External"/><Relationship Id="rId70" Type="http://schemas.openxmlformats.org/officeDocument/2006/relationships/hyperlink" Target="https://jobs.lever.co/palantir/b80d45be-7fe8-4a11-b159-65551320c61f" TargetMode="External"/><Relationship Id="rId71" Type="http://schemas.openxmlformats.org/officeDocument/2006/relationships/hyperlink" Target="https://jobs.lever.co/palantir/f75cb0d2-6608-450b-848e-0f27937c930d" TargetMode="External"/><Relationship Id="rId72" Type="http://schemas.openxmlformats.org/officeDocument/2006/relationships/hyperlink" Target="https://jobs.ashbyhq.com/perplexity/94ccf41e-d3e1-41aa-9569-c3bcbffc4184" TargetMode="External"/><Relationship Id="rId73" Type="http://schemas.openxmlformats.org/officeDocument/2006/relationships/hyperlink" Target="https://jobs.ashbyhq.com/perplexity/dd80ab52-34bd-42af-aa5e-6283b7e6c194" TargetMode="External"/><Relationship Id="rId74" Type="http://schemas.openxmlformats.org/officeDocument/2006/relationships/hyperlink" Target="https://job-boards.greenhouse.io/scaleai/jobs/4536659005" TargetMode="External"/><Relationship Id="rId75" Type="http://schemas.openxmlformats.org/officeDocument/2006/relationships/hyperlink" Target="https://job-boards.greenhouse.io/scaleai/jobs/4711544005" TargetMode="External"/><Relationship Id="rId76" Type="http://schemas.openxmlformats.org/officeDocument/2006/relationships/hyperlink" Target="https://job-boards.greenhouse.io/scaleai/jobs/4536653005" TargetMode="External"/><Relationship Id="rId77" Type="http://schemas.openxmlformats.org/officeDocument/2006/relationships/hyperlink" Target="https://job-boards.greenhouse.io/scaleai/jobs/4712145005" TargetMode="External"/><Relationship Id="rId78" Type="http://schemas.openxmlformats.org/officeDocument/2006/relationships/hyperlink" Target="https://job-boards.greenhouse.io/towerresearchcapital/jobs/7683372" TargetMode="External"/><Relationship Id="rId79" Type="http://schemas.openxmlformats.org/officeDocument/2006/relationships/hyperlink" Target="https://job-boards.greenhouse.io/towerresearchcapital/jobs/7979738" TargetMode="External"/><Relationship Id="rId80" Type="http://schemas.openxmlformats.org/officeDocument/2006/relationships/hyperlink" Target="https://job-boards.greenhouse.io/xtxmarketstechnologies/jobs/7741365003" TargetMode="External"/><Relationship Id="rId81" Type="http://schemas.openxmlformats.org/officeDocument/2006/relationships/hyperlink" Target="https://job-boards.greenhouse.io/xtxmarketstechnologies/jobs/7835362003" TargetMode="External"/><Relationship Id="rId82" Type="http://schemas.openxmlformats.org/officeDocument/2006/relationships/hyperlink" Target="https://job-boards.greenhouse.io/xai/jobs/5120536007" TargetMode="External"/><Relationship Id="rId83" Type="http://schemas.openxmlformats.org/officeDocument/2006/relationships/hyperlink" Target="https://job-boards.greenhouse.io/xai/jobs/5007872007" TargetMode="External"/><Relationship Id="rId84" Type="http://schemas.openxmlformats.org/officeDocument/2006/relationships/hyperlink" Target="https://job-boards.greenhouse.io/adyen/jobs/7607691" TargetMode="External"/><Relationship Id="rId85" Type="http://schemas.openxmlformats.org/officeDocument/2006/relationships/hyperlink" Target="https://job-boards.greenhouse.io/adyen/jobs/7325482" TargetMode="External"/><Relationship Id="rId86" Type="http://schemas.openxmlformats.org/officeDocument/2006/relationships/hyperlink" Target="https://www.amazon.jobs/en/jobs/10485819/software-development-engineer-amazon" TargetMode="External"/><Relationship Id="rId87" Type="http://schemas.openxmlformats.org/officeDocument/2006/relationships/hyperlink" Target="https://www.amazon.jobs/en/jobs/10491483/senior-software-development-engineer-nextgen-security-zerofriction" TargetMode="External"/><Relationship Id="rId88" Type="http://schemas.openxmlformats.org/officeDocument/2006/relationships/hyperlink" Target="https://search.jobs.barclays/job/london/ai-platform-engineer/13015/99542109296" TargetMode="External"/><Relationship Id="rId89" Type="http://schemas.openxmlformats.org/officeDocument/2006/relationships/hyperlink" Target="https://search.jobs.barclays/job/london/senior-ai-platform-engineer/13015/99719469600" TargetMode="External"/><Relationship Id="rId90" Type="http://schemas.openxmlformats.org/officeDocument/2006/relationships/hyperlink" Target="https://search.jobs.barclays/job/london/senior-python-platform-engineer/13015/91713320336" TargetMode="External"/><Relationship Id="rId91" Type="http://schemas.openxmlformats.org/officeDocument/2006/relationships/hyperlink" Target="https://search.jobs.barclays/job/london/senior-software-engineer/13015/93955737504" TargetMode="External"/><Relationship Id="rId92" Type="http://schemas.openxmlformats.org/officeDocument/2006/relationships/hyperlink" Target="https://job-boards.greenhouse.io/blackforestlabs/jobs/4925659008" TargetMode="External"/><Relationship Id="rId93" Type="http://schemas.openxmlformats.org/officeDocument/2006/relationships/hyperlink" Target="https://careers.blackrock.com/job/london/full-stack-software-engineer-associate-preqin-engineering/45831/99108243968" TargetMode="External"/><Relationship Id="rId94" Type="http://schemas.openxmlformats.org/officeDocument/2006/relationships/hyperlink" Target="https://careers.blackrock.com/job/london/vp-full-stack-software-engineer-java/45831/99760166688" TargetMode="External"/><Relationship Id="rId95" Type="http://schemas.openxmlformats.org/officeDocument/2006/relationships/hyperlink" Target="https://bloomberg.avature.net/careers/JobDetail/Senior-Software-Engineer-DataHub-Experience-Control-Plane/19859" TargetMode="External"/><Relationship Id="rId96" Type="http://schemas.openxmlformats.org/officeDocument/2006/relationships/hyperlink" Target="https://bloomberg.avature.net/careers/JobDetail/Senior-Software-Engineer-DevX-SCAnS-Developer-Experience/11924" TargetMode="External"/><Relationship Id="rId97" Type="http://schemas.openxmlformats.org/officeDocument/2006/relationships/hyperlink" Target="https://bloomberg.avature.net/careers/JobDetail/Senior-Software-Engineer-Login-Platform/20520" TargetMode="External"/><Relationship Id="rId98" Type="http://schemas.openxmlformats.org/officeDocument/2006/relationships/hyperlink" Target="https://bloomberg.avature.net/careers/JobDetail/Senior-Software-Engineer-Platform-as-a-Service-BPaaS/17294" TargetMode="External"/><Relationship Id="rId99" Type="http://schemas.openxmlformats.org/officeDocument/2006/relationships/hyperlink" Target="https://careers.bloomberg.com/job/detail/71371" TargetMode="External"/><Relationship Id="rId100" Type="http://schemas.openxmlformats.org/officeDocument/2006/relationships/hyperlink" Target="https://job-boards.greenhouse.io/celonis/jobs/7678804003" TargetMode="External"/><Relationship Id="rId101" Type="http://schemas.openxmlformats.org/officeDocument/2006/relationships/hyperlink" Target="https://job-boards.greenhouse.io/celonis/jobs/7712675003" TargetMode="External"/><Relationship Id="rId102" Type="http://schemas.openxmlformats.org/officeDocument/2006/relationships/hyperlink" Target="https://jobs.citi.com/job/london/senior-software-engineer-vp/287/80064426288" TargetMode="External"/><Relationship Id="rId103" Type="http://schemas.openxmlformats.org/officeDocument/2006/relationships/hyperlink" Target="https://jobs.citi.com/job/london/software-engineer-equities-tech-vp/287/85910309520" TargetMode="External"/><Relationship Id="rId104" Type="http://schemas.openxmlformats.org/officeDocument/2006/relationships/hyperlink" Target="https://careers.datadoghq.com/detail/7959962/" TargetMode="External"/><Relationship Id="rId105" Type="http://schemas.openxmlformats.org/officeDocument/2006/relationships/hyperlink" Target="https://db.wd3.myworkdayjobs.com/dbwebsite/job/London-10-Upper-Bank-Street/kdb--Engineer_R0418763-1" TargetMode="External"/><Relationship Id="rId106" Type="http://schemas.openxmlformats.org/officeDocument/2006/relationships/hyperlink" Target="https://jobs.elastic.co/jobs?gh_jid=8002562" TargetMode="External"/><Relationship Id="rId107" Type="http://schemas.openxmlformats.org/officeDocument/2006/relationships/hyperlink" Target="https://www.flowtraders.com/careers/job-description/8027844" TargetMode="External"/><Relationship Id="rId108" Type="http://schemas.openxmlformats.org/officeDocument/2006/relationships/hyperlink" Target="https://www.flowtraders.com/careers/job-description/8035201" TargetMode="External"/><Relationship Id="rId109" Type="http://schemas.openxmlformats.org/officeDocument/2006/relationships/hyperlink" Target="https://job-boards.greenhouse.io/grafanalabs/jobs/5999673004" TargetMode="External"/><Relationship Id="rId110" Type="http://schemas.openxmlformats.org/officeDocument/2006/relationships/hyperlink" Target="https://job-boards.greenhouse.io/grafanalabs/jobs/6123193004" TargetMode="External"/><Relationship Id="rId111" Type="http://schemas.openxmlformats.org/officeDocument/2006/relationships/hyperlink" Target="https://job-boards.greenhouse.io/grafanalabs/jobs/6134516004" TargetMode="External"/><Relationship Id="rId112" Type="http://schemas.openxmlformats.org/officeDocument/2006/relationships/hyperlink" Target="https://job-boards.greenhouse.io/grafanalabs/jobs/6135792004" TargetMode="External"/><Relationship Id="rId113" Type="http://schemas.openxmlformats.org/officeDocument/2006/relationships/hyperlink" Target="https://job-boards.greenhouse.io/grafanalabs/jobs/6117339004" TargetMode="External"/><Relationship Id="rId114" Type="http://schemas.openxmlformats.org/officeDocument/2006/relationships/hyperlink" Target="https://job-boards.greenhouse.io/grafanalabs/jobs/6101637004" TargetMode="External"/><Relationship Id="rId115" Type="http://schemas.openxmlformats.org/officeDocument/2006/relationships/hyperlink" Target="https://job-boards.greenhouse.io/grafanalabs/jobs/6105600004" TargetMode="External"/><Relationship Id="rId116" Type="http://schemas.openxmlformats.org/officeDocument/2006/relationships/hyperlink" Target="https://jobs.ashbyhq.com/harvey/748edfbe-f819-47fd-85bb-3c4974f8913f" TargetMode="External"/><Relationship Id="rId117" Type="http://schemas.openxmlformats.org/officeDocument/2006/relationships/hyperlink" Target="https://helsing.ai/jobs/4125061101" TargetMode="External"/><Relationship Id="rId118" Type="http://schemas.openxmlformats.org/officeDocument/2006/relationships/hyperlink" Target="https://apply.workable.com/j/F4C096B22E" TargetMode="External"/><Relationship Id="rId119" Type="http://schemas.openxmlformats.org/officeDocument/2006/relationships/hyperlink" Target="https://apply.workable.com/j/CB1DEFE6CE" TargetMode="External"/><Relationship Id="rId120" Type="http://schemas.openxmlformats.org/officeDocument/2006/relationships/hyperlink" Target="https://jobs.ashbyhq.com/langchain/a03b3e54-495d-4960-aee7-0194a3cef57d" TargetMode="External"/><Relationship Id="rId121" Type="http://schemas.openxmlformats.org/officeDocument/2006/relationships/hyperlink" Target="https://jobs.ashbyhq.com/livekit/5d4461df-f7b6-4f34-a084-5abfe069b2be" TargetMode="External"/><Relationship Id="rId122" Type="http://schemas.openxmlformats.org/officeDocument/2006/relationships/hyperlink" Target="https://miro.com/careers/vacancy/8579901002/" TargetMode="External"/><Relationship Id="rId123" Type="http://schemas.openxmlformats.org/officeDocument/2006/relationships/hyperlink" Target="https://www.mongodb.com/careers/job/?gh_jid=7695616" TargetMode="External"/><Relationship Id="rId124" Type="http://schemas.openxmlformats.org/officeDocument/2006/relationships/hyperlink" Target="https://job-boards.greenhouse.io/monzo/jobs/6635837" TargetMode="External"/><Relationship Id="rId125" Type="http://schemas.openxmlformats.org/officeDocument/2006/relationships/hyperlink" Target="https://job-boards.greenhouse.io/monzo/jobs/6699672" TargetMode="External"/><Relationship Id="rId126" Type="http://schemas.openxmlformats.org/officeDocument/2006/relationships/hyperlink" Target="https://jobs.ashbyhq.com/runway-ml/8489a08a-f0cf-4418-968c-c7c803d538bc" TargetMode="External"/><Relationship Id="rId127" Type="http://schemas.openxmlformats.org/officeDocument/2006/relationships/hyperlink" Target="https://careers.sig.com/jobs/10903?lang=en-us" TargetMode="External"/><Relationship Id="rId128" Type="http://schemas.openxmlformats.org/officeDocument/2006/relationships/hyperlink" Target="https://jobs.ashbyhq.com/synthesia/36ffd056-0141-487e-8f6c-83b52c074f62" TargetMode="External"/><Relationship Id="rId129" Type="http://schemas.openxmlformats.org/officeDocument/2006/relationships/hyperlink" Target="https://job-boards.greenhouse.io/togetherai/jobs/4555544007" TargetMode="External"/><Relationship Id="rId130" Type="http://schemas.openxmlformats.org/officeDocument/2006/relationships/hyperlink" Target="https://job-boards.greenhouse.io/togetherai/jobs/5028862007" TargetMode="External"/><Relationship Id="rId131" Type="http://schemas.openxmlformats.org/officeDocument/2006/relationships/hyperlink" Target="https://job-boards.greenhouse.io/togetherai/jobs/5214645007" TargetMode="External"/><Relationship Id="rId132" Type="http://schemas.openxmlformats.org/officeDocument/2006/relationships/hyperlink" Target="https://vercel.com/careers/forward-deployed-engineer-5778418004" TargetMode="External"/><Relationship Id="rId133" Type="http://schemas.openxmlformats.org/officeDocument/2006/relationships/hyperlink" Target="https://vercel.com/careers/software-engineer-compute-6113157004" TargetMode="External"/><Relationship Id="rId134" Type="http://schemas.openxmlformats.org/officeDocument/2006/relationships/hyperlink" Target="https://vercel.com/careers/software-engineer-observability-5428982004" TargetMode="External"/><Relationship Id="rId135" Type="http://schemas.openxmlformats.org/officeDocument/2006/relationships/hyperlink" Target="https://wayve.firststage.co/jobs/4V9J3p5ZmM/view?layout=grid" TargetMode="External"/><Relationship Id="rId136" Type="http://schemas.openxmlformats.org/officeDocument/2006/relationships/hyperlink" Target="https://wayve.firststage.co/jobs/JcW2mUU4Dg/view?layout=grid" TargetMode="External"/><Relationship Id="rId137" Type="http://schemas.openxmlformats.org/officeDocument/2006/relationships/hyperlink" Target="https://wayve.firststage.co/jobs/OYyzTmOwpa/view?layout=grid" TargetMode="External"/><Relationship Id="rId138" Type="http://schemas.openxmlformats.org/officeDocument/2006/relationships/hyperlink" Target="https://wayve.firststage.co/jobs/t5byEUnNGb/view?layout=grid" TargetMode="External"/><Relationship Id="rId139" Type="http://schemas.openxmlformats.org/officeDocument/2006/relationships/hyperlink" Target="https://wise.jobs/job/software-engineer-recurring-payin-in-london-jid-3490" TargetMode="External"/><Relationship Id="rId140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github.careers/life-at-github/jobs/5604?lang=en-us" TargetMode="External"/><Relationship Id="rId2" Type="http://schemas.openxmlformats.org/officeDocument/2006/relationships/hyperlink" Target="https://www.google.com/about/careers/applications/jobs/results/109948625580106438-senior-software-engineer-threat-intelligence?location=Malaga,+Spain" TargetMode="External"/><Relationship Id="rId3" Type="http://schemas.openxmlformats.org/officeDocument/2006/relationships/hyperlink" Target="https://www.google.com/about/careers/applications/jobs/results/106249868464267974-staff-software-engineer-aiml-securityprivacy?location=Malaga,+Spain" TargetMode="External"/><Relationship Id="rId4" Type="http://schemas.openxmlformats.org/officeDocument/2006/relationships/hyperlink" Target="https://www.google.com/about/careers/applications/jobs/results/133711833520317126-software-engineer-iii-aiml-threat-intelligence?location=Malaga,+Spain" TargetMode="External"/><Relationship Id="rId5" Type="http://schemas.openxmlformats.org/officeDocument/2006/relationships/hyperlink" Target="https://careers.datadoghq.com/madrid/" TargetMode="External"/><Relationship Id="rId6" Type="http://schemas.openxmlformats.org/officeDocument/2006/relationships/hyperlink" Target="https://www.amazon.jobs/en/jobs/10431603/software-development-engineer-discovery-tech-discotec-discovery-technology-science" TargetMode="External"/><Relationship Id="rId7" Type="http://schemas.openxmlformats.org/officeDocument/2006/relationships/hyperlink" Target="https://www.amazon.jobs/en/jobs/10405578/software-dev-engineer-machine-learning" TargetMode="External"/><Relationship Id="rId8" Type="http://schemas.openxmlformats.org/officeDocument/2006/relationships/hyperlink" Target="https://www.amazon.jobs/en/jobs/10463482/software-development-engineer-java-aws-ring" TargetMode="External"/><Relationship Id="rId9" Type="http://schemas.openxmlformats.org/officeDocument/2006/relationships/hyperlink" Target="https://jobs.careers.microsoft.com/global/en/job/1677997/Software-Engineer-&#8211;-Cloud-Data-Warehouse--Barcelona-(Spain)" TargetMode="External"/><Relationship Id="rId10" Type="http://schemas.openxmlformats.org/officeDocument/2006/relationships/hyperlink" Target="https://job-boards.greenhouse.io/newrelic/jobs/4979226008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boards-api.greenhouse.io/v1/boards/monzo/jobs" TargetMode="External"/><Relationship Id="rId2" Type="http://schemas.openxmlformats.org/officeDocument/2006/relationships/hyperlink" Target="https://www.gresearch.com/vacancies/" TargetMode="External"/><Relationship Id="rId3" Type="http://schemas.openxmlformats.org/officeDocument/2006/relationships/hyperlink" Target="https://job-boards.greenhouse.io/anthropic" TargetMode="External"/><Relationship Id="rId4" Type="http://schemas.openxmlformats.org/officeDocument/2006/relationships/hyperlink" Target="https://jobs.lever.co/palantir?location=London%2C%20United%20Kingdom" TargetMode="External"/><Relationship Id="rId5" Type="http://schemas.openxmlformats.org/officeDocument/2006/relationships/hyperlink" Target="https://boards-api.greenhouse.io/v1/boards/grafanalabs/jobs" TargetMode="External"/><Relationship Id="rId6" Type="http://schemas.openxmlformats.org/officeDocument/2006/relationships/hyperlink" Target="https://bloomberg.avature.net/careers/SearchJobs/" TargetMode="External"/><Relationship Id="rId7" Type="http://schemas.openxmlformats.org/officeDocument/2006/relationships/hyperlink" Target="https://vercel.com/careers" TargetMode="External"/><Relationship Id="rId8" Type="http://schemas.openxmlformats.org/officeDocument/2006/relationships/hyperlink" Target="https://openai.com/careers/search/?l=london" TargetMode="External"/><Relationship Id="rId9" Type="http://schemas.openxmlformats.org/officeDocument/2006/relationships/hyperlink" Target="https://drw.com/work-at-drw/listings" TargetMode="External"/><Relationship Id="rId10" Type="http://schemas.openxmlformats.org/officeDocument/2006/relationships/hyperlink" Target="https://wayve.firststage.co/jobs" TargetMode="External"/><Relationship Id="rId11" Type="http://schemas.openxmlformats.org/officeDocument/2006/relationships/hyperlink" Target="https://jobs.ashbyhq.com/elevenlabs" TargetMode="External"/><Relationship Id="rId12" Type="http://schemas.openxmlformats.org/officeDocument/2006/relationships/hyperlink" Target="https://careers.datadoghq.com/all-jobs/" TargetMode="External"/><Relationship Id="rId13" Type="http://schemas.openxmlformats.org/officeDocument/2006/relationships/hyperlink" Target="https://boards-api.greenhouse.io/v1/boards/figma/jobs" TargetMode="External"/><Relationship Id="rId14" Type="http://schemas.openxmlformats.org/officeDocument/2006/relationships/hyperlink" Target="https://search.jobs.barclays/" TargetMode="External"/><Relationship Id="rId15" Type="http://schemas.openxmlformats.org/officeDocument/2006/relationships/hyperlink" Target="https://www.amazon.jobs/en/search?base_query=software+development+engineer&amp;loc_query=London" TargetMode="External"/><Relationship Id="rId16" Type="http://schemas.openxmlformats.org/officeDocument/2006/relationships/hyperlink" Target="https://boards-api.greenhouse.io/v1/boards/wehrtyou/jobs" TargetMode="External"/><Relationship Id="rId17" Type="http://schemas.openxmlformats.org/officeDocument/2006/relationships/hyperlink" Target="https://www.citadel.com/careers/open-opportunities/" TargetMode="External"/><Relationship Id="rId18" Type="http://schemas.openxmlformats.org/officeDocument/2006/relationships/hyperlink" Target="https://www.janestreet.com/join-jane-street/open-roles/" TargetMode="External"/><Relationship Id="rId19" Type="http://schemas.openxmlformats.org/officeDocument/2006/relationships/hyperlink" Target="https://careers.twosigma.com/" TargetMode="External"/><Relationship Id="rId20" Type="http://schemas.openxmlformats.org/officeDocument/2006/relationships/hyperlink" Target="https://www.optiver.com/join-us/jobs/technology/london/" TargetMode="External"/><Relationship Id="rId21" Type="http://schemas.openxmlformats.org/officeDocument/2006/relationships/hyperlink" Target="https://tower-research.com/open-positions/" TargetMode="External"/><Relationship Id="rId22" Type="http://schemas.openxmlformats.org/officeDocument/2006/relationships/hyperlink" Target="https://www.xtxmarkets.com/careers/" TargetMode="External"/><Relationship Id="rId23" Type="http://schemas.openxmlformats.org/officeDocument/2006/relationships/hyperlink" Target="https://boards-api.greenhouse.io/v1/boards/jumptrading/jobs" TargetMode="External"/><Relationship Id="rId24" Type="http://schemas.openxmlformats.org/officeDocument/2006/relationships/hyperlink" Target="https://boards-api.greenhouse.io/v1/boards/databricks/jobs" TargetMode="External"/><Relationship Id="rId25" Type="http://schemas.openxmlformats.org/officeDocument/2006/relationships/hyperlink" Target="https://job-boards.greenhouse.io/xai" TargetMode="External"/><Relationship Id="rId26" Type="http://schemas.openxmlformats.org/officeDocument/2006/relationships/hyperlink" Target="https://jobs.ashbyhq.com/perplexity" TargetMode="External"/><Relationship Id="rId27" Type="http://schemas.openxmlformats.org/officeDocument/2006/relationships/hyperlink" Target="https://job-boards.greenhouse.io/scaleai" TargetMode="External"/><Relationship Id="rId28" Type="http://schemas.openxmlformats.org/officeDocument/2006/relationships/hyperlink" Target="https://job-boards.greenhouse.io/togetherai" TargetMode="External"/><Relationship Id="rId29" Type="http://schemas.openxmlformats.org/officeDocument/2006/relationships/hyperlink" Target="https://www.google.com/about/careers/applications/jobs/results?q=software+engineer&amp;location=Zurich" TargetMode="External"/><Relationship Id="rId30" Type="http://schemas.openxmlformats.org/officeDocument/2006/relationships/hyperlink" Target="https://nvidia.wd5.myworkdayjobs.com/NVIDIAExternalCareerSite" TargetMode="External"/><Relationship Id="rId31" Type="http://schemas.openxmlformats.org/officeDocument/2006/relationships/hyperlink" Target="https://www.google.com/about/careers/applications/jobs/results?company=DeepMind" TargetMode="External"/><Relationship Id="rId32" Type="http://schemas.openxmlformats.org/officeDocument/2006/relationships/hyperlink" Target="https://cursor.com/careers" TargetMode="External"/><Relationship Id="rId33" Type="http://schemas.openxmlformats.org/officeDocument/2006/relationships/hyperlink" Target="https://boards-api.greenhouse.io/v1/boards/celonis/jobs" TargetMode="External"/><Relationship Id="rId34" Type="http://schemas.openxmlformats.org/officeDocument/2006/relationships/hyperlink" Target="https://jobs.elastic.co/jobs/team/engineering" TargetMode="External"/><Relationship Id="rId35" Type="http://schemas.openxmlformats.org/officeDocument/2006/relationships/hyperlink" Target="https://apply.workable.com/huggingface/" TargetMode="External"/><Relationship Id="rId36" Type="http://schemas.openxmlformats.org/officeDocument/2006/relationships/hyperlink" Target="https://www.mongodb.com/company/careers/jobs" TargetMode="External"/><Relationship Id="rId37" Type="http://schemas.openxmlformats.org/officeDocument/2006/relationships/hyperlink" Target="https://careers.adyen.com/vacancies" TargetMode="External"/><Relationship Id="rId38" Type="http://schemas.openxmlformats.org/officeDocument/2006/relationships/hyperlink" Target="https://www.flowtraders.com/careers/job-search/" TargetMode="External"/><Relationship Id="rId39" Type="http://schemas.openxmlformats.org/officeDocument/2006/relationships/hyperlink" Target="https://jobs.citi.com/" TargetMode="External"/><Relationship Id="rId40" Type="http://schemas.openxmlformats.org/officeDocument/2006/relationships/hyperlink" Target="https://careers.blackrock.com/search-jobs" TargetMode="External"/><Relationship Id="rId41" Type="http://schemas.openxmlformats.org/officeDocument/2006/relationships/hyperlink" Target="https://careers.sig.com/jobs" TargetMode="External"/><Relationship Id="rId42" Type="http://schemas.openxmlformats.org/officeDocument/2006/relationships/hyperlink" Target="https://careers.db.com/professionals/search-roles/" TargetMode="External"/><Relationship Id="rId43" Type="http://schemas.openxmlformats.org/officeDocument/2006/relationships/hyperlink" Target="https://miro.com/careers/" TargetMode="External"/><Relationship Id="rId44" Type="http://schemas.openxmlformats.org/officeDocument/2006/relationships/hyperlink" Target="https://jobs.ashbyhq.com/synthesia" TargetMode="External"/><Relationship Id="rId45" Type="http://schemas.openxmlformats.org/officeDocument/2006/relationships/hyperlink" Target="https://jobs.ashbyhq.com/harvey" TargetMode="External"/><Relationship Id="rId46" Type="http://schemas.openxmlformats.org/officeDocument/2006/relationships/hyperlink" Target="https://jobs.ashbyhq.com/langchain" TargetMode="External"/><Relationship Id="rId47" Type="http://schemas.openxmlformats.org/officeDocument/2006/relationships/hyperlink" Target="https://jobs.ashbyhq.com/livekit" TargetMode="External"/><Relationship Id="rId48" Type="http://schemas.openxmlformats.org/officeDocument/2006/relationships/hyperlink" Target="https://jobs.ashbyhq.com/runway-ml/" TargetMode="External"/><Relationship Id="rId49" Type="http://schemas.openxmlformats.org/officeDocument/2006/relationships/hyperlink" Target="https://jobs.ashbyhq.com/fireworks" TargetMode="External"/><Relationship Id="rId50" Type="http://schemas.openxmlformats.org/officeDocument/2006/relationships/hyperlink" Target="https://job-boards.greenhouse.io/blackforestlabs" TargetMode="External"/><Relationship Id="rId51" Type="http://schemas.openxmlformats.org/officeDocument/2006/relationships/hyperlink" Target="https://helsing.ai/jobs" TargetMode="External"/><Relationship Id="rId52" Type="http://schemas.openxmlformats.org/officeDocument/2006/relationships/hyperlink" Target="https://wise.jobs/jobs/?location=London" TargetMode="External"/><Relationship Id="rId53" Type="http://schemas.openxmlformats.org/officeDocument/2006/relationships/hyperlink" Target="https://www.wiz.io/careers" TargetMode="External"/><Relationship Id="rId54" Type="http://schemas.openxmlformats.org/officeDocument/2006/relationships/hyperlink" Target="https://jobs.ashbyhq.com/cohere" TargetMode="External"/><Relationship Id="rId55" Type="http://schemas.openxmlformats.org/officeDocument/2006/relationships/hyperlink" Target="https://jobs.ashbyhq.com/DeepL" TargetMode="External"/><Relationship Id="rId56" Type="http://schemas.openxmlformats.org/officeDocument/2006/relationships/hyperlink" Target="https://www.checkout.com/jobs" TargetMode="External"/><Relationship Id="rId57" Type="http://schemas.openxmlformats.org/officeDocument/2006/relationships/hyperlink" Target="https://www.cloudflare.com/careers/jobs/" TargetMode="External"/><Relationship Id="rId58" Type="http://schemas.openxmlformats.org/officeDocument/2006/relationships/hyperlink" Target="https://careers.snowflake.com/us/en/search-results" TargetMode="External"/><Relationship Id="rId59" Type="http://schemas.openxmlformats.org/officeDocument/2006/relationships/hyperlink" Target="https://explore.jobs.netflix.net/" TargetMode="External"/><Relationship Id="rId60" Type="http://schemas.openxmlformats.org/officeDocument/2006/relationships/hyperlink" Target="https://jobs.apple.com/en-gb/search?location=united-kingdom-GBR" TargetMode="External"/><Relationship Id="rId61" Type="http://schemas.openxmlformats.org/officeDocument/2006/relationships/hyperlink" Target="https://stripe.com/jobs/search?office_locations=europe--london&amp;teams=Engineering" TargetMode="External"/><Relationship Id="rId62" Type="http://schemas.openxmlformats.org/officeDocument/2006/relationships/hyperlink" Target="https://jobs.paloaltonetworks.com/" TargetMode="External"/><Relationship Id="rId63" Type="http://schemas.openxmlformats.org/officeDocument/2006/relationships/hyperlink" Target="https://jobs.careers.microsoft.com/global/en/search?lc=London" TargetMode="External"/><Relationship Id="rId64" Type="http://schemas.openxmlformats.org/officeDocument/2006/relationships/hyperlink" Target="https://www.metacareers.com/jobs?offices[0]=London%2C+United+Kingdom" TargetMode="External"/><Relationship Id="rId65" Type="http://schemas.openxmlformats.org/officeDocument/2006/relationships/hyperlink" Target="https://jobs.uber.com/en/jobs/?department=Engineering&amp;location=GBR--England--London" TargetMode="External"/><Relationship Id="rId66" Type="http://schemas.openxmlformats.org/officeDocument/2006/relationships/hyperlink" Target="https://careers.confluent.io/jobs/engineering" TargetMode="External"/><Relationship Id="rId67" Type="http://schemas.openxmlformats.org/officeDocument/2006/relationships/hyperlink" Target="https://higher.gs.com/" TargetMode="External"/><Relationship Id="rId68" Type="http://schemas.openxmlformats.org/officeDocument/2006/relationships/hyperlink" Target="https://jpmc.fa.oraclecloud.com/hcmUI/CandidateExperience/en/sites/CX_1001/requisitions" TargetMode="External"/><Relationship Id="rId69" Type="http://schemas.openxmlformats.org/officeDocument/2006/relationships/hyperlink" Target="https://morganstanley.eightfold.ai/careers" TargetMode="External"/><Relationship Id="rId70" Type="http://schemas.openxmlformats.org/officeDocument/2006/relationships/hyperlink" Target="https://jobs.ubs.com/" TargetMode="External"/><Relationship Id="rId71" Type="http://schemas.openxmlformats.org/officeDocument/2006/relationships/hyperlink" Target="https://portal.careers.hsbc.com/careers" TargetMode="External"/><Relationship Id="rId72" Type="http://schemas.openxmlformats.org/officeDocument/2006/relationships/hyperlink" Target="https://www.imc.com/eu/careers/jobs" TargetMode="External"/><Relationship Id="rId73" Type="http://schemas.openxmlformats.org/officeDocument/2006/relationships/hyperlink" Target="https://job-boards.greenhouse.io/fiveringsllc" TargetMode="External"/><Relationship Id="rId74" Type="http://schemas.openxmlformats.org/officeDocument/2006/relationships/hyperlink" Target="https://www.citadelsecurities.com/careers/open-opportunities/" TargetMode="External"/><Relationship Id="rId75" Type="http://schemas.openxmlformats.org/officeDocument/2006/relationships/hyperlink" Target="https://careers.bankofamerica.com/" TargetMode="External"/><Relationship Id="rId76" Type="http://schemas.openxmlformats.org/officeDocument/2006/relationships/hyperlink" Target="https://group.bnpparibas/en/careers" TargetMode="External"/><Relationship Id="rId77" Type="http://schemas.openxmlformats.org/officeDocument/2006/relationships/hyperlink" Target="https://www.sc.com/en/careers/" TargetMode="External"/><Relationship Id="rId78" Type="http://schemas.openxmlformats.org/officeDocument/2006/relationships/hyperlink" Target="https://www.revolut.com/careers/" TargetMode="External"/><Relationship Id="rId79" Type="http://schemas.openxmlformats.org/officeDocument/2006/relationships/hyperlink" Target="https://jobs.ashbyhq.com/mistral.ai" TargetMode="External"/><Relationship Id="rId80" Type="http://schemas.openxmlformats.org/officeDocument/2006/relationships/hyperlink" Target="https://www.coreweave.com/careers/weights-biases" TargetMode="External"/><Relationship Id="rId81" Type="http://schemas.openxmlformats.org/officeDocument/2006/relationships/hyperlink" Target="https://www.shopify.com/careers" TargetMode="External"/><Relationship Id="rId82" Type="http://schemas.openxmlformats.org/officeDocument/2006/relationships/hyperlink" Target="https://tenstorrent.com/careers" TargetMode="External"/><Relationship Id="rId83" Type="http://schemas.openxmlformats.org/officeDocument/2006/relationships/hyperlink" Target="https://waabi.ai/careers/" TargetMode="External"/><Relationship Id="rId84" Type="http://schemas.openxmlformats.org/officeDocument/2006/relationships/hyperlink" Target="https://xanadu.ai/careers" TargetMode="External"/><Relationship Id="rId85" Type="http://schemas.openxmlformats.org/officeDocument/2006/relationships/hyperlink" Target="https://www.microsoft.com/en-us/research/careers/" TargetMode="External"/><Relationship Id="rId86" Type="http://schemas.openxmlformats.org/officeDocument/2006/relationships/hyperlink" Target="https://careers.salesforce.com/" TargetMode="External"/><Relationship Id="rId87" Type="http://schemas.openxmlformats.org/officeDocument/2006/relationships/hyperlink" Target="https://replicate.com/careers" TargetMode="External"/><Relationship Id="rId88" Type="http://schemas.openxmlformats.org/officeDocument/2006/relationships/hyperlink" Target="https://www.asml.com/en/careers" TargetMode="External"/><Relationship Id="rId89" Type="http://schemas.openxmlformats.org/officeDocument/2006/relationships/hyperlink" Target="https://jobs.bytedance.com/en/" TargetMode="External"/><Relationship Id="rId90" Type="http://schemas.openxmlformats.org/officeDocument/2006/relationships/hyperlink" Target="https://thehumanoid.ai/" TargetMode="External"/><Relationship Id="rId91" Type="http://schemas.openxmlformats.org/officeDocument/2006/relationships/hyperlink" Target="https://www.g42.ai/careers" TargetMode="External"/><Relationship Id="rId92" Type="http://schemas.openxmlformats.org/officeDocument/2006/relationships/hyperlink" Target="https://core42.ai/careers" TargetMode="External"/><Relationship Id="rId93" Type="http://schemas.openxmlformats.org/officeDocument/2006/relationships/hyperlink" Target="https://ai71.ai/" TargetMode="External"/><Relationship Id="rId94" Type="http://schemas.openxmlformats.org/officeDocument/2006/relationships/hyperlink" Target="https://grab.careers/" TargetMode="External"/><Relationship Id="rId95" Type="http://schemas.openxmlformats.org/officeDocument/2006/relationships/hyperlink" Target="https://career.sea.com/" TargetMode="External"/><Relationship Id="rId96" Type="http://schemas.openxmlformats.org/officeDocument/2006/relationships/hyperlink" Target="https://talent.alibaba.com/" TargetMode="External"/><Relationship Id="rId97" Type="http://schemas.openxmlformats.org/officeDocument/2006/relationships/hyperlink" Target="https://careers.tencent.com/" TargetMode="External"/><Relationship Id="rId98" Type="http://schemas.openxmlformats.org/officeDocument/2006/relationships/hyperlink" Target="https://www.antgroup.com/en/careers" TargetMode="External"/><Relationship Id="rId99" Type="http://schemas.openxmlformats.org/officeDocument/2006/relationships/hyperlink" Target="https://www.google.com/about/careers/applications/jobs/results?location=Hong+Kong" TargetMode="External"/><Relationship Id="rId100" Type="http://schemas.openxmlformats.org/officeDocument/2006/relationships/hyperlink" Target="https://www.google.com/about/careers/applications/jobs/results?location=Singapore" TargetMode="External"/><Relationship Id="rId101" Type="http://schemas.openxmlformats.org/officeDocument/2006/relationships/hyperlink" Target="https://www.metacareers.com/jobs" TargetMode="External"/><Relationship Id="rId102" Type="http://schemas.openxmlformats.org/officeDocument/2006/relationships/hyperlink" Target="https://nvidia.wd5.myworkdayjobs.com/NVIDIAExternalCareerSite" TargetMode="External"/><Relationship Id="rId103" Type="http://schemas.openxmlformats.org/officeDocument/2006/relationships/hyperlink" Target="https://jobs.careers.microsoft.com/" TargetMode="External"/><Relationship Id="rId104" Type="http://schemas.openxmlformats.org/officeDocument/2006/relationships/hyperlink" Target="https://www.amazon.jobs/en/search?loc_query=Singapore" TargetMode="External"/><Relationship Id="rId105" Type="http://schemas.openxmlformats.org/officeDocument/2006/relationships/hyperlink" Target="https://www.google.com/about/careers/applications/jobs/results?location=Zurich" TargetMode="External"/><Relationship Id="rId106" Type="http://schemas.openxmlformats.org/officeDocument/2006/relationships/hyperlink" Target="https://www.metacareers.com/jobs?offices[0]=Zurich" TargetMode="External"/><Relationship Id="rId107" Type="http://schemas.openxmlformats.org/officeDocument/2006/relationships/hyperlink" Target="https://jobs.careers.microsoft.com/" TargetMode="External"/><Relationship Id="rId108" Type="http://schemas.openxmlformats.org/officeDocument/2006/relationships/hyperlink" Target="https://nvidia.wd5.myworkdayjobs.com/NVIDIAExternalCareerSite" TargetMode="External"/><Relationship Id="rId109" Type="http://schemas.openxmlformats.org/officeDocument/2006/relationships/hyperlink" Target="https://studios.disneyresearch.com/" TargetMode="External"/><Relationship Id="rId110" Type="http://schemas.openxmlformats.org/officeDocument/2006/relationships/hyperlink" Target="https://www.zurich.ibm.com/careers/" TargetMode="External"/><Relationship Id="rId11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0"/>
  </cols>
  <sheetData>
    <row r="1" customFormat="false" ht="79.5" hidden="false" customHeight="true" outlineLevel="0" collapsed="false">
      <c r="A1" s="2" t="s">
        <v>0</v>
      </c>
      <c r="B1" s="3"/>
    </row>
    <row r="2" customFormat="false" ht="74.25" hidden="false" customHeight="true" outlineLevel="0" collapsed="false">
      <c r="A2" s="4" t="s">
        <v>1</v>
      </c>
      <c r="B2" s="3"/>
    </row>
    <row r="3" customFormat="false" ht="15" hidden="false" customHeight="true" outlineLevel="0" collapsed="false">
      <c r="A3" s="3"/>
      <c r="B3" s="3"/>
    </row>
    <row r="4" customFormat="false" ht="26.25" hidden="false" customHeight="true" outlineLevel="0" collapsed="false">
      <c r="A4" s="5" t="s">
        <v>2</v>
      </c>
      <c r="B4" s="3"/>
    </row>
    <row r="5" customFormat="false" ht="15" hidden="false" customHeight="true" outlineLevel="0" collapsed="false">
      <c r="A5" s="3" t="s">
        <v>3</v>
      </c>
      <c r="B5" s="3" t="s">
        <v>4</v>
      </c>
    </row>
    <row r="6" customFormat="false" ht="15" hidden="false" customHeight="true" outlineLevel="0" collapsed="false">
      <c r="A6" s="3" t="s">
        <v>5</v>
      </c>
      <c r="B6" s="3" t="s">
        <v>6</v>
      </c>
    </row>
    <row r="7" customFormat="false" ht="15" hidden="false" customHeight="true" outlineLevel="0" collapsed="false">
      <c r="A7" s="3" t="s">
        <v>7</v>
      </c>
      <c r="B7" s="3" t="s">
        <v>8</v>
      </c>
    </row>
    <row r="8" customFormat="false" ht="15" hidden="false" customHeight="true" outlineLevel="0" collapsed="false">
      <c r="A8" s="3" t="s">
        <v>9</v>
      </c>
      <c r="B8" s="3" t="s">
        <v>10</v>
      </c>
    </row>
    <row r="9" customFormat="false" ht="15" hidden="false" customHeight="true" outlineLevel="0" collapsed="false">
      <c r="A9" s="3"/>
      <c r="B9" s="3"/>
    </row>
    <row r="10" customFormat="false" ht="64.5" hidden="false" customHeight="true" outlineLevel="0" collapsed="false">
      <c r="A10" s="5" t="s">
        <v>11</v>
      </c>
      <c r="B10" s="3"/>
    </row>
    <row r="11" customFormat="false" ht="15" hidden="false" customHeight="true" outlineLevel="0" collapsed="false">
      <c r="A11" s="3"/>
      <c r="B11" s="3" t="s">
        <v>12</v>
      </c>
    </row>
    <row r="12" customFormat="false" ht="15" hidden="false" customHeight="true" outlineLevel="0" collapsed="false">
      <c r="A12" s="3"/>
      <c r="B12" s="3"/>
    </row>
    <row r="13" customFormat="false" ht="26.25" hidden="false" customHeight="true" outlineLevel="0" collapsed="false">
      <c r="A13" s="5" t="s">
        <v>13</v>
      </c>
      <c r="B13" s="3"/>
    </row>
    <row r="14" customFormat="false" ht="15" hidden="false" customHeight="true" outlineLevel="0" collapsed="false">
      <c r="A14" s="3" t="s">
        <v>14</v>
      </c>
      <c r="B14" s="3" t="s">
        <v>15</v>
      </c>
    </row>
    <row r="15" customFormat="false" ht="15" hidden="false" customHeight="true" outlineLevel="0" collapsed="false">
      <c r="A15" s="3" t="s">
        <v>16</v>
      </c>
      <c r="B15" s="3" t="s">
        <v>17</v>
      </c>
    </row>
    <row r="16" customFormat="false" ht="15" hidden="false" customHeight="true" outlineLevel="0" collapsed="false">
      <c r="A16" s="3" t="s">
        <v>18</v>
      </c>
      <c r="B16" s="3" t="s">
        <v>19</v>
      </c>
    </row>
    <row r="17" customFormat="false" ht="15" hidden="false" customHeight="true" outlineLevel="0" collapsed="false">
      <c r="A17" s="3"/>
      <c r="B17" s="3"/>
    </row>
    <row r="18" customFormat="false" ht="39" hidden="false" customHeight="true" outlineLevel="0" collapsed="false">
      <c r="A18" s="5" t="s">
        <v>20</v>
      </c>
      <c r="B18" s="3"/>
    </row>
    <row r="19" customFormat="false" ht="23.25" hidden="false" customHeight="true" outlineLevel="0" collapsed="false">
      <c r="A19" s="3" t="s">
        <v>3</v>
      </c>
      <c r="B19" s="3" t="s">
        <v>21</v>
      </c>
    </row>
    <row r="20" customFormat="false" ht="34.5" hidden="false" customHeight="true" outlineLevel="0" collapsed="false">
      <c r="A20" s="3" t="s">
        <v>5</v>
      </c>
      <c r="B20" s="3" t="s">
        <v>22</v>
      </c>
    </row>
    <row r="21" customFormat="false" ht="23.25" hidden="false" customHeight="true" outlineLevel="0" collapsed="false">
      <c r="A21" s="3" t="s">
        <v>7</v>
      </c>
      <c r="B21" s="3" t="s">
        <v>23</v>
      </c>
    </row>
    <row r="22" customFormat="false" ht="15" hidden="false" customHeight="true" outlineLevel="0" collapsed="false">
      <c r="A22" s="3"/>
      <c r="B22" s="3"/>
    </row>
    <row r="23" customFormat="false" ht="15" hidden="false" customHeight="true" outlineLevel="0" collapsed="false">
      <c r="A23" s="5" t="s">
        <v>24</v>
      </c>
      <c r="B23" s="3"/>
    </row>
    <row r="24" customFormat="false" ht="15" hidden="false" customHeight="true" outlineLevel="0" collapsed="false">
      <c r="A24" s="6" t="s">
        <v>25</v>
      </c>
      <c r="B24" s="7" t="n">
        <f aca="false">COUNTA('Apply Queue'!B2:B140)</f>
        <v>139</v>
      </c>
    </row>
    <row r="25" customFormat="false" ht="15" hidden="false" customHeight="true" outlineLevel="0" collapsed="false">
      <c r="A25" s="6" t="s">
        <v>26</v>
      </c>
      <c r="B25" s="7" t="n">
        <f aca="false">COUNTIF('Apply Queue'!N2:K140,"Applied")</f>
        <v>0</v>
      </c>
    </row>
    <row r="26" customFormat="false" ht="15" hidden="false" customHeight="true" outlineLevel="0" collapsed="false">
      <c r="A26" s="6" t="s">
        <v>27</v>
      </c>
      <c r="B26" s="7" t="n">
        <f aca="false">COUNTIF('Apply Queue'!N2:K140,"Referral requested")</f>
        <v>0</v>
      </c>
    </row>
    <row r="27" customFormat="false" ht="15" hidden="false" customHeight="true" outlineLevel="0" collapsed="false">
      <c r="A27" s="6" t="s">
        <v>28</v>
      </c>
      <c r="B27" s="7" t="n">
        <f aca="false">COUNTIF('Apply Queue'!N2:K140,"Recruiter screen")+COUNTIF('Apply Queue'!N2:K140,"Tech screen")+COUNTIF('Apply Queue'!N2:K140,"Onsite")</f>
        <v>0</v>
      </c>
    </row>
    <row r="28" customFormat="false" ht="15" hidden="false" customHeight="true" outlineLevel="0" collapsed="false">
      <c r="A28" s="6" t="s">
        <v>29</v>
      </c>
      <c r="B28" s="7" t="n">
        <f aca="false">COUNTIF('Apply Queue'!N2:K140,"Offer")</f>
        <v>0</v>
      </c>
    </row>
    <row r="29" customFormat="false" ht="15" hidden="false" customHeight="true" outlineLevel="0" collapsed="false">
      <c r="A29" s="6" t="s">
        <v>30</v>
      </c>
      <c r="B29" s="7" t="n">
        <f aca="false">COUNTA('Outreach Log'!A3:A500)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42"/>
    <col collapsed="false" customWidth="true" hidden="false" outlineLevel="0" max="7" min="7" style="1" width="40"/>
    <col collapsed="false" customWidth="true" hidden="false" outlineLevel="0" max="8" min="8" style="1" width="30"/>
    <col collapsed="false" customWidth="true" hidden="false" outlineLevel="0" max="9" min="9" style="1" width="11"/>
    <col collapsed="false" customWidth="true" hidden="false" outlineLevel="0" max="10" min="10" style="1" width="20"/>
    <col collapsed="false" customWidth="true" hidden="false" outlineLevel="0" max="11" min="11" style="1" width="9"/>
    <col collapsed="false" customWidth="true" hidden="false" outlineLevel="0" max="12" min="12" style="1" width="15"/>
    <col collapsed="false" customWidth="true" hidden="false" outlineLevel="0" max="13" min="13" style="1" width="16"/>
    <col collapsed="false" customWidth="true" hidden="false" outlineLevel="0" max="14" min="14" style="1" width="18"/>
    <col collapsed="false" customWidth="true" hidden="false" outlineLevel="0" max="15" min="15" style="1" width="13"/>
    <col collapsed="false" customWidth="true" hidden="false" outlineLevel="0" max="16" min="16" style="1" width="20"/>
    <col collapsed="false" customWidth="true" hidden="false" outlineLevel="0" max="17" min="17" style="1" width="52"/>
  </cols>
  <sheetData>
    <row r="1" customFormat="false" ht="33.75" hidden="false" customHeight="true" outlineLevel="0" collapsed="false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  <c r="O1" s="8" t="s">
        <v>45</v>
      </c>
      <c r="P1" s="8" t="s">
        <v>46</v>
      </c>
      <c r="Q1" s="8" t="s">
        <v>47</v>
      </c>
    </row>
    <row r="2" customFormat="false" ht="34.5" hidden="false" customHeight="true" outlineLevel="0" collapsed="false">
      <c r="A2" s="9" t="n">
        <v>1</v>
      </c>
      <c r="B2" s="10" t="s">
        <v>48</v>
      </c>
      <c r="C2" s="11" t="s">
        <v>49</v>
      </c>
      <c r="D2" s="11" t="s">
        <v>50</v>
      </c>
      <c r="E2" s="11" t="s">
        <v>51</v>
      </c>
      <c r="F2" s="12" t="s">
        <v>52</v>
      </c>
      <c r="G2" s="11" t="s">
        <v>53</v>
      </c>
      <c r="H2" s="12" t="s">
        <v>54</v>
      </c>
      <c r="I2" s="11" t="s">
        <v>55</v>
      </c>
      <c r="J2" s="11" t="s">
        <v>56</v>
      </c>
      <c r="K2" s="13" t="s">
        <v>57</v>
      </c>
      <c r="L2" s="11" t="s">
        <v>58</v>
      </c>
      <c r="M2" s="11" t="s">
        <v>59</v>
      </c>
      <c r="N2" s="14" t="s">
        <v>60</v>
      </c>
      <c r="O2" s="14"/>
      <c r="P2" s="14"/>
      <c r="Q2" s="11"/>
    </row>
    <row r="3" customFormat="false" ht="23.25" hidden="false" customHeight="true" outlineLevel="0" collapsed="false">
      <c r="A3" s="9" t="n">
        <v>1</v>
      </c>
      <c r="B3" s="10" t="s">
        <v>48</v>
      </c>
      <c r="C3" s="11" t="s">
        <v>61</v>
      </c>
      <c r="D3" s="11" t="s">
        <v>50</v>
      </c>
      <c r="E3" s="11" t="s">
        <v>51</v>
      </c>
      <c r="F3" s="12" t="s">
        <v>52</v>
      </c>
      <c r="G3" s="11" t="s">
        <v>53</v>
      </c>
      <c r="H3" s="12" t="s">
        <v>54</v>
      </c>
      <c r="I3" s="11" t="s">
        <v>62</v>
      </c>
      <c r="J3" s="11" t="s">
        <v>56</v>
      </c>
      <c r="K3" s="13" t="s">
        <v>57</v>
      </c>
      <c r="L3" s="11" t="s">
        <v>58</v>
      </c>
      <c r="M3" s="11" t="s">
        <v>63</v>
      </c>
      <c r="N3" s="14" t="s">
        <v>60</v>
      </c>
      <c r="O3" s="14"/>
      <c r="P3" s="14"/>
      <c r="Q3" s="11"/>
    </row>
    <row r="4" customFormat="false" ht="23.25" hidden="false" customHeight="true" outlineLevel="0" collapsed="false">
      <c r="A4" s="9" t="n">
        <v>1</v>
      </c>
      <c r="B4" s="10" t="s">
        <v>48</v>
      </c>
      <c r="C4" s="11" t="s">
        <v>64</v>
      </c>
      <c r="D4" s="11" t="s">
        <v>50</v>
      </c>
      <c r="E4" s="11" t="s">
        <v>51</v>
      </c>
      <c r="F4" s="12" t="s">
        <v>52</v>
      </c>
      <c r="G4" s="11" t="s">
        <v>65</v>
      </c>
      <c r="H4" s="12" t="s">
        <v>66</v>
      </c>
      <c r="I4" s="11" t="s">
        <v>62</v>
      </c>
      <c r="J4" s="11" t="s">
        <v>67</v>
      </c>
      <c r="K4" s="13" t="s">
        <v>57</v>
      </c>
      <c r="L4" s="11" t="s">
        <v>58</v>
      </c>
      <c r="M4" s="11" t="s">
        <v>68</v>
      </c>
      <c r="N4" s="14" t="s">
        <v>60</v>
      </c>
      <c r="O4" s="14"/>
      <c r="P4" s="14"/>
      <c r="Q4" s="11" t="s">
        <v>69</v>
      </c>
    </row>
    <row r="5" customFormat="false" ht="23.25" hidden="false" customHeight="true" outlineLevel="0" collapsed="false">
      <c r="A5" s="9" t="n">
        <v>1</v>
      </c>
      <c r="B5" s="10" t="s">
        <v>48</v>
      </c>
      <c r="C5" s="11" t="s">
        <v>70</v>
      </c>
      <c r="D5" s="11" t="s">
        <v>50</v>
      </c>
      <c r="E5" s="11" t="s">
        <v>51</v>
      </c>
      <c r="F5" s="12" t="s">
        <v>52</v>
      </c>
      <c r="G5" s="11" t="s">
        <v>53</v>
      </c>
      <c r="H5" s="12" t="s">
        <v>54</v>
      </c>
      <c r="I5" s="11" t="s">
        <v>62</v>
      </c>
      <c r="J5" s="11" t="s">
        <v>56</v>
      </c>
      <c r="K5" s="13" t="s">
        <v>57</v>
      </c>
      <c r="L5" s="11" t="s">
        <v>58</v>
      </c>
      <c r="M5" s="11" t="s">
        <v>71</v>
      </c>
      <c r="N5" s="14" t="s">
        <v>60</v>
      </c>
      <c r="O5" s="14"/>
      <c r="P5" s="14"/>
      <c r="Q5" s="11" t="s">
        <v>72</v>
      </c>
    </row>
    <row r="6" customFormat="false" ht="23.25" hidden="false" customHeight="true" outlineLevel="0" collapsed="false">
      <c r="A6" s="9" t="n">
        <v>1</v>
      </c>
      <c r="B6" s="10" t="s">
        <v>48</v>
      </c>
      <c r="C6" s="11" t="s">
        <v>73</v>
      </c>
      <c r="D6" s="11" t="s">
        <v>74</v>
      </c>
      <c r="E6" s="11" t="s">
        <v>51</v>
      </c>
      <c r="F6" s="12" t="s">
        <v>52</v>
      </c>
      <c r="G6" s="11" t="s">
        <v>53</v>
      </c>
      <c r="H6" s="12" t="s">
        <v>54</v>
      </c>
      <c r="I6" s="11" t="s">
        <v>75</v>
      </c>
      <c r="J6" s="11" t="s">
        <v>56</v>
      </c>
      <c r="K6" s="13" t="s">
        <v>57</v>
      </c>
      <c r="L6" s="11" t="s">
        <v>58</v>
      </c>
      <c r="M6" s="11" t="s">
        <v>76</v>
      </c>
      <c r="N6" s="14" t="s">
        <v>60</v>
      </c>
      <c r="O6" s="14"/>
      <c r="P6" s="14"/>
      <c r="Q6" s="11"/>
    </row>
    <row r="7" customFormat="false" ht="23.25" hidden="false" customHeight="true" outlineLevel="0" collapsed="false">
      <c r="A7" s="9" t="n">
        <v>1</v>
      </c>
      <c r="B7" s="10" t="s">
        <v>48</v>
      </c>
      <c r="C7" s="11" t="s">
        <v>77</v>
      </c>
      <c r="D7" s="11" t="s">
        <v>50</v>
      </c>
      <c r="E7" s="11" t="s">
        <v>51</v>
      </c>
      <c r="F7" s="12" t="s">
        <v>52</v>
      </c>
      <c r="G7" s="11" t="s">
        <v>53</v>
      </c>
      <c r="H7" s="12" t="s">
        <v>54</v>
      </c>
      <c r="I7" s="11" t="s">
        <v>78</v>
      </c>
      <c r="J7" s="11" t="s">
        <v>56</v>
      </c>
      <c r="K7" s="13" t="s">
        <v>57</v>
      </c>
      <c r="L7" s="11" t="s">
        <v>58</v>
      </c>
      <c r="M7" s="11" t="s">
        <v>79</v>
      </c>
      <c r="N7" s="14" t="s">
        <v>60</v>
      </c>
      <c r="O7" s="14"/>
      <c r="P7" s="14"/>
      <c r="Q7" s="11"/>
    </row>
    <row r="8" customFormat="false" ht="23.25" hidden="false" customHeight="true" outlineLevel="0" collapsed="false">
      <c r="A8" s="9" t="n">
        <v>1</v>
      </c>
      <c r="B8" s="10" t="s">
        <v>80</v>
      </c>
      <c r="C8" s="11" t="s">
        <v>81</v>
      </c>
      <c r="D8" s="11" t="s">
        <v>82</v>
      </c>
      <c r="E8" s="11" t="s">
        <v>83</v>
      </c>
      <c r="F8" s="12" t="s">
        <v>84</v>
      </c>
      <c r="G8" s="11" t="s">
        <v>85</v>
      </c>
      <c r="H8" s="11" t="s">
        <v>86</v>
      </c>
      <c r="I8" s="11" t="s">
        <v>87</v>
      </c>
      <c r="J8" s="11" t="s">
        <v>56</v>
      </c>
      <c r="K8" s="13" t="s">
        <v>57</v>
      </c>
      <c r="L8" s="11" t="s">
        <v>88</v>
      </c>
      <c r="M8" s="11"/>
      <c r="N8" s="14" t="s">
        <v>60</v>
      </c>
      <c r="O8" s="14"/>
      <c r="P8" s="14"/>
      <c r="Q8" s="11" t="s">
        <v>89</v>
      </c>
    </row>
    <row r="9" customFormat="false" ht="23.25" hidden="false" customHeight="true" outlineLevel="0" collapsed="false">
      <c r="A9" s="9" t="n">
        <v>1</v>
      </c>
      <c r="B9" s="10" t="s">
        <v>80</v>
      </c>
      <c r="C9" s="11" t="s">
        <v>90</v>
      </c>
      <c r="D9" s="11" t="s">
        <v>91</v>
      </c>
      <c r="E9" s="11" t="s">
        <v>83</v>
      </c>
      <c r="F9" s="12" t="s">
        <v>84</v>
      </c>
      <c r="G9" s="11" t="s">
        <v>85</v>
      </c>
      <c r="H9" s="11" t="s">
        <v>86</v>
      </c>
      <c r="I9" s="11" t="s">
        <v>87</v>
      </c>
      <c r="J9" s="11" t="s">
        <v>56</v>
      </c>
      <c r="K9" s="13" t="s">
        <v>57</v>
      </c>
      <c r="L9" s="11" t="s">
        <v>88</v>
      </c>
      <c r="M9" s="11"/>
      <c r="N9" s="14" t="s">
        <v>60</v>
      </c>
      <c r="O9" s="14"/>
      <c r="P9" s="14"/>
      <c r="Q9" s="11" t="s">
        <v>92</v>
      </c>
    </row>
    <row r="10" customFormat="false" ht="23.25" hidden="false" customHeight="true" outlineLevel="0" collapsed="false">
      <c r="A10" s="9" t="n">
        <v>1</v>
      </c>
      <c r="B10" s="10" t="s">
        <v>93</v>
      </c>
      <c r="C10" s="11" t="s">
        <v>94</v>
      </c>
      <c r="D10" s="11" t="s">
        <v>95</v>
      </c>
      <c r="E10" s="11" t="s">
        <v>51</v>
      </c>
      <c r="F10" s="12" t="s">
        <v>96</v>
      </c>
      <c r="G10" s="11" t="s">
        <v>53</v>
      </c>
      <c r="H10" s="11" t="s">
        <v>97</v>
      </c>
      <c r="I10" s="11" t="s">
        <v>98</v>
      </c>
      <c r="J10" s="11" t="s">
        <v>67</v>
      </c>
      <c r="K10" s="13" t="s">
        <v>57</v>
      </c>
      <c r="L10" s="11" t="s">
        <v>99</v>
      </c>
      <c r="M10" s="11" t="s">
        <v>100</v>
      </c>
      <c r="N10" s="14" t="s">
        <v>60</v>
      </c>
      <c r="O10" s="14"/>
      <c r="P10" s="14"/>
      <c r="Q10" s="11" t="s">
        <v>101</v>
      </c>
    </row>
    <row r="11" customFormat="false" ht="23.25" hidden="false" customHeight="true" outlineLevel="0" collapsed="false">
      <c r="A11" s="9" t="n">
        <v>1</v>
      </c>
      <c r="B11" s="10" t="s">
        <v>102</v>
      </c>
      <c r="C11" s="11" t="s">
        <v>103</v>
      </c>
      <c r="D11" s="11" t="s">
        <v>104</v>
      </c>
      <c r="E11" s="11" t="s">
        <v>83</v>
      </c>
      <c r="F11" s="12" t="s">
        <v>105</v>
      </c>
      <c r="G11" s="11" t="s">
        <v>85</v>
      </c>
      <c r="H11" s="11" t="s">
        <v>86</v>
      </c>
      <c r="I11" s="11" t="s">
        <v>87</v>
      </c>
      <c r="J11" s="11" t="s">
        <v>106</v>
      </c>
      <c r="K11" s="13" t="s">
        <v>57</v>
      </c>
      <c r="L11" s="11" t="s">
        <v>58</v>
      </c>
      <c r="M11" s="11" t="s">
        <v>107</v>
      </c>
      <c r="N11" s="14" t="s">
        <v>60</v>
      </c>
      <c r="O11" s="14"/>
      <c r="P11" s="14"/>
      <c r="Q11" s="11" t="s">
        <v>108</v>
      </c>
    </row>
    <row r="12" customFormat="false" ht="23.25" hidden="false" customHeight="true" outlineLevel="0" collapsed="false">
      <c r="A12" s="9" t="n">
        <v>1</v>
      </c>
      <c r="B12" s="10" t="s">
        <v>102</v>
      </c>
      <c r="C12" s="11" t="s">
        <v>109</v>
      </c>
      <c r="D12" s="11" t="s">
        <v>110</v>
      </c>
      <c r="E12" s="11" t="s">
        <v>83</v>
      </c>
      <c r="F12" s="12" t="s">
        <v>105</v>
      </c>
      <c r="G12" s="11" t="s">
        <v>85</v>
      </c>
      <c r="H12" s="11" t="s">
        <v>86</v>
      </c>
      <c r="I12" s="11" t="s">
        <v>78</v>
      </c>
      <c r="J12" s="11" t="s">
        <v>111</v>
      </c>
      <c r="K12" s="13" t="s">
        <v>57</v>
      </c>
      <c r="L12" s="11" t="s">
        <v>58</v>
      </c>
      <c r="M12" s="11" t="s">
        <v>112</v>
      </c>
      <c r="N12" s="14" t="s">
        <v>60</v>
      </c>
      <c r="O12" s="14"/>
      <c r="P12" s="14"/>
      <c r="Q12" s="11"/>
    </row>
    <row r="13" customFormat="false" ht="23.25" hidden="false" customHeight="true" outlineLevel="0" collapsed="false">
      <c r="A13" s="9" t="n">
        <v>1</v>
      </c>
      <c r="B13" s="10" t="s">
        <v>102</v>
      </c>
      <c r="C13" s="11" t="s">
        <v>113</v>
      </c>
      <c r="D13" s="11" t="s">
        <v>114</v>
      </c>
      <c r="E13" s="11" t="s">
        <v>83</v>
      </c>
      <c r="F13" s="12" t="s">
        <v>105</v>
      </c>
      <c r="G13" s="11" t="s">
        <v>85</v>
      </c>
      <c r="H13" s="11" t="s">
        <v>86</v>
      </c>
      <c r="I13" s="11" t="s">
        <v>115</v>
      </c>
      <c r="J13" s="11" t="s">
        <v>56</v>
      </c>
      <c r="K13" s="13" t="s">
        <v>57</v>
      </c>
      <c r="L13" s="11" t="s">
        <v>58</v>
      </c>
      <c r="M13" s="11" t="s">
        <v>116</v>
      </c>
      <c r="N13" s="14" t="s">
        <v>60</v>
      </c>
      <c r="O13" s="14"/>
      <c r="P13" s="14"/>
      <c r="Q13" s="11"/>
    </row>
    <row r="14" customFormat="false" ht="23.25" hidden="false" customHeight="true" outlineLevel="0" collapsed="false">
      <c r="A14" s="9" t="n">
        <v>1</v>
      </c>
      <c r="B14" s="10" t="s">
        <v>102</v>
      </c>
      <c r="C14" s="11" t="s">
        <v>117</v>
      </c>
      <c r="D14" s="11" t="s">
        <v>118</v>
      </c>
      <c r="E14" s="11" t="s">
        <v>83</v>
      </c>
      <c r="F14" s="12" t="s">
        <v>105</v>
      </c>
      <c r="G14" s="11" t="s">
        <v>85</v>
      </c>
      <c r="H14" s="11" t="s">
        <v>86</v>
      </c>
      <c r="I14" s="11" t="s">
        <v>87</v>
      </c>
      <c r="J14" s="11" t="s">
        <v>56</v>
      </c>
      <c r="K14" s="13" t="s">
        <v>57</v>
      </c>
      <c r="L14" s="11" t="s">
        <v>58</v>
      </c>
      <c r="M14" s="11" t="s">
        <v>119</v>
      </c>
      <c r="N14" s="14" t="s">
        <v>60</v>
      </c>
      <c r="O14" s="14"/>
      <c r="P14" s="14"/>
      <c r="Q14" s="11"/>
    </row>
    <row r="15" customFormat="false" ht="23.25" hidden="false" customHeight="true" outlineLevel="0" collapsed="false">
      <c r="A15" s="9" t="n">
        <v>1</v>
      </c>
      <c r="B15" s="10" t="s">
        <v>102</v>
      </c>
      <c r="C15" s="11" t="s">
        <v>120</v>
      </c>
      <c r="D15" s="11" t="s">
        <v>110</v>
      </c>
      <c r="E15" s="11" t="s">
        <v>83</v>
      </c>
      <c r="F15" s="12" t="s">
        <v>105</v>
      </c>
      <c r="G15" s="11" t="s">
        <v>85</v>
      </c>
      <c r="H15" s="11" t="s">
        <v>86</v>
      </c>
      <c r="I15" s="11" t="s">
        <v>87</v>
      </c>
      <c r="J15" s="11" t="s">
        <v>56</v>
      </c>
      <c r="K15" s="13" t="s">
        <v>57</v>
      </c>
      <c r="L15" s="11" t="s">
        <v>58</v>
      </c>
      <c r="M15" s="11" t="s">
        <v>121</v>
      </c>
      <c r="N15" s="14" t="s">
        <v>60</v>
      </c>
      <c r="O15" s="14"/>
      <c r="P15" s="14"/>
      <c r="Q15" s="11"/>
    </row>
    <row r="16" customFormat="false" ht="23.25" hidden="false" customHeight="true" outlineLevel="0" collapsed="false">
      <c r="A16" s="9" t="n">
        <v>1</v>
      </c>
      <c r="B16" s="10" t="s">
        <v>122</v>
      </c>
      <c r="C16" s="11" t="s">
        <v>123</v>
      </c>
      <c r="D16" s="11" t="s">
        <v>50</v>
      </c>
      <c r="E16" s="11" t="s">
        <v>83</v>
      </c>
      <c r="F16" s="12" t="s">
        <v>124</v>
      </c>
      <c r="G16" s="11" t="s">
        <v>85</v>
      </c>
      <c r="H16" s="11" t="s">
        <v>86</v>
      </c>
      <c r="I16" s="11" t="s">
        <v>78</v>
      </c>
      <c r="J16" s="11" t="s">
        <v>56</v>
      </c>
      <c r="K16" s="13" t="s">
        <v>57</v>
      </c>
      <c r="L16" s="11" t="s">
        <v>125</v>
      </c>
      <c r="M16" s="11" t="s">
        <v>126</v>
      </c>
      <c r="N16" s="14" t="s">
        <v>60</v>
      </c>
      <c r="O16" s="14"/>
      <c r="P16" s="14"/>
      <c r="Q16" s="11"/>
    </row>
    <row r="17" customFormat="false" ht="23.25" hidden="false" customHeight="true" outlineLevel="0" collapsed="false">
      <c r="A17" s="9" t="n">
        <v>1</v>
      </c>
      <c r="B17" s="10" t="s">
        <v>122</v>
      </c>
      <c r="C17" s="11" t="s">
        <v>90</v>
      </c>
      <c r="D17" s="11" t="s">
        <v>50</v>
      </c>
      <c r="E17" s="11" t="s">
        <v>83</v>
      </c>
      <c r="F17" s="12" t="s">
        <v>124</v>
      </c>
      <c r="G17" s="11" t="s">
        <v>85</v>
      </c>
      <c r="H17" s="11" t="s">
        <v>127</v>
      </c>
      <c r="I17" s="11" t="s">
        <v>87</v>
      </c>
      <c r="J17" s="11" t="s">
        <v>56</v>
      </c>
      <c r="K17" s="13" t="s">
        <v>57</v>
      </c>
      <c r="L17" s="11" t="s">
        <v>125</v>
      </c>
      <c r="M17" s="11" t="s">
        <v>128</v>
      </c>
      <c r="N17" s="14" t="s">
        <v>60</v>
      </c>
      <c r="O17" s="14"/>
      <c r="P17" s="14"/>
      <c r="Q17" s="11" t="s">
        <v>129</v>
      </c>
    </row>
    <row r="18" customFormat="false" ht="23.25" hidden="false" customHeight="true" outlineLevel="0" collapsed="false">
      <c r="A18" s="9" t="n">
        <v>1</v>
      </c>
      <c r="B18" s="10" t="s">
        <v>130</v>
      </c>
      <c r="C18" s="11" t="s">
        <v>131</v>
      </c>
      <c r="D18" s="11" t="s">
        <v>50</v>
      </c>
      <c r="E18" s="11" t="s">
        <v>51</v>
      </c>
      <c r="F18" s="12" t="s">
        <v>132</v>
      </c>
      <c r="G18" s="11" t="s">
        <v>53</v>
      </c>
      <c r="H18" s="11" t="s">
        <v>133</v>
      </c>
      <c r="I18" s="11" t="s">
        <v>134</v>
      </c>
      <c r="J18" s="11" t="s">
        <v>67</v>
      </c>
      <c r="K18" s="13" t="s">
        <v>57</v>
      </c>
      <c r="L18" s="11" t="s">
        <v>135</v>
      </c>
      <c r="M18" s="11"/>
      <c r="N18" s="14" t="s">
        <v>60</v>
      </c>
      <c r="O18" s="14"/>
      <c r="P18" s="14"/>
      <c r="Q18" s="11" t="s">
        <v>136</v>
      </c>
    </row>
    <row r="19" customFormat="false" ht="23.25" hidden="false" customHeight="true" outlineLevel="0" collapsed="false">
      <c r="A19" s="9" t="n">
        <v>1</v>
      </c>
      <c r="B19" s="10" t="s">
        <v>130</v>
      </c>
      <c r="C19" s="11" t="s">
        <v>137</v>
      </c>
      <c r="D19" s="11" t="s">
        <v>50</v>
      </c>
      <c r="E19" s="11" t="s">
        <v>51</v>
      </c>
      <c r="F19" s="12" t="s">
        <v>132</v>
      </c>
      <c r="G19" s="11" t="s">
        <v>53</v>
      </c>
      <c r="H19" s="11" t="s">
        <v>86</v>
      </c>
      <c r="I19" s="11" t="s">
        <v>87</v>
      </c>
      <c r="J19" s="11" t="s">
        <v>56</v>
      </c>
      <c r="K19" s="13" t="s">
        <v>57</v>
      </c>
      <c r="L19" s="11" t="s">
        <v>135</v>
      </c>
      <c r="M19" s="11"/>
      <c r="N19" s="14" t="s">
        <v>60</v>
      </c>
      <c r="O19" s="14"/>
      <c r="P19" s="14"/>
      <c r="Q19" s="11"/>
    </row>
    <row r="20" customFormat="false" ht="23.25" hidden="false" customHeight="true" outlineLevel="0" collapsed="false">
      <c r="A20" s="9" t="n">
        <v>1</v>
      </c>
      <c r="B20" s="10" t="s">
        <v>130</v>
      </c>
      <c r="C20" s="11" t="s">
        <v>138</v>
      </c>
      <c r="D20" s="11" t="s">
        <v>50</v>
      </c>
      <c r="E20" s="11" t="s">
        <v>51</v>
      </c>
      <c r="F20" s="12" t="s">
        <v>132</v>
      </c>
      <c r="G20" s="11" t="s">
        <v>53</v>
      </c>
      <c r="H20" s="11" t="s">
        <v>86</v>
      </c>
      <c r="I20" s="11" t="s">
        <v>87</v>
      </c>
      <c r="J20" s="11" t="s">
        <v>56</v>
      </c>
      <c r="K20" s="13" t="s">
        <v>57</v>
      </c>
      <c r="L20" s="11" t="s">
        <v>135</v>
      </c>
      <c r="M20" s="11"/>
      <c r="N20" s="14" t="s">
        <v>60</v>
      </c>
      <c r="O20" s="14"/>
      <c r="P20" s="14"/>
      <c r="Q20" s="11"/>
    </row>
    <row r="21" customFormat="false" ht="23.25" hidden="false" customHeight="true" outlineLevel="0" collapsed="false">
      <c r="A21" s="9" t="n">
        <v>1</v>
      </c>
      <c r="B21" s="10" t="s">
        <v>130</v>
      </c>
      <c r="C21" s="11" t="s">
        <v>139</v>
      </c>
      <c r="D21" s="11" t="s">
        <v>50</v>
      </c>
      <c r="E21" s="11" t="s">
        <v>51</v>
      </c>
      <c r="F21" s="12" t="s">
        <v>132</v>
      </c>
      <c r="G21" s="11" t="s">
        <v>53</v>
      </c>
      <c r="H21" s="11" t="s">
        <v>140</v>
      </c>
      <c r="I21" s="11" t="s">
        <v>78</v>
      </c>
      <c r="J21" s="11" t="s">
        <v>56</v>
      </c>
      <c r="K21" s="13" t="s">
        <v>57</v>
      </c>
      <c r="L21" s="11" t="s">
        <v>135</v>
      </c>
      <c r="M21" s="11"/>
      <c r="N21" s="14" t="s">
        <v>60</v>
      </c>
      <c r="O21" s="14"/>
      <c r="P21" s="14"/>
      <c r="Q21" s="11"/>
    </row>
    <row r="22" customFormat="false" ht="23.25" hidden="false" customHeight="true" outlineLevel="0" collapsed="false">
      <c r="A22" s="9" t="n">
        <v>1</v>
      </c>
      <c r="B22" s="10" t="s">
        <v>130</v>
      </c>
      <c r="C22" s="11" t="s">
        <v>141</v>
      </c>
      <c r="D22" s="11" t="s">
        <v>50</v>
      </c>
      <c r="E22" s="11" t="s">
        <v>51</v>
      </c>
      <c r="F22" s="12" t="s">
        <v>132</v>
      </c>
      <c r="G22" s="11" t="s">
        <v>53</v>
      </c>
      <c r="H22" s="11" t="s">
        <v>142</v>
      </c>
      <c r="I22" s="11" t="s">
        <v>87</v>
      </c>
      <c r="J22" s="11" t="s">
        <v>56</v>
      </c>
      <c r="K22" s="13" t="s">
        <v>57</v>
      </c>
      <c r="L22" s="11" t="s">
        <v>135</v>
      </c>
      <c r="M22" s="11"/>
      <c r="N22" s="14" t="s">
        <v>60</v>
      </c>
      <c r="O22" s="14"/>
      <c r="P22" s="14"/>
      <c r="Q22" s="11"/>
    </row>
    <row r="23" customFormat="false" ht="23.25" hidden="false" customHeight="true" outlineLevel="0" collapsed="false">
      <c r="A23" s="9" t="n">
        <v>1</v>
      </c>
      <c r="B23" s="10" t="s">
        <v>130</v>
      </c>
      <c r="C23" s="11" t="s">
        <v>143</v>
      </c>
      <c r="D23" s="11" t="s">
        <v>50</v>
      </c>
      <c r="E23" s="11" t="s">
        <v>51</v>
      </c>
      <c r="F23" s="12" t="s">
        <v>132</v>
      </c>
      <c r="G23" s="11" t="s">
        <v>53</v>
      </c>
      <c r="H23" s="11" t="s">
        <v>86</v>
      </c>
      <c r="I23" s="11" t="s">
        <v>78</v>
      </c>
      <c r="J23" s="11" t="s">
        <v>56</v>
      </c>
      <c r="K23" s="13" t="s">
        <v>57</v>
      </c>
      <c r="L23" s="11" t="s">
        <v>135</v>
      </c>
      <c r="M23" s="11"/>
      <c r="N23" s="14" t="s">
        <v>60</v>
      </c>
      <c r="O23" s="14"/>
      <c r="P23" s="14"/>
      <c r="Q23" s="11" t="s">
        <v>144</v>
      </c>
    </row>
    <row r="24" customFormat="false" ht="23.25" hidden="false" customHeight="true" outlineLevel="0" collapsed="false">
      <c r="A24" s="9" t="n">
        <v>1</v>
      </c>
      <c r="B24" s="10" t="s">
        <v>145</v>
      </c>
      <c r="C24" s="11" t="s">
        <v>146</v>
      </c>
      <c r="D24" s="11" t="s">
        <v>50</v>
      </c>
      <c r="E24" s="11" t="s">
        <v>83</v>
      </c>
      <c r="F24" s="11" t="s">
        <v>147</v>
      </c>
      <c r="G24" s="11" t="s">
        <v>85</v>
      </c>
      <c r="H24" s="11" t="s">
        <v>86</v>
      </c>
      <c r="I24" s="11" t="s">
        <v>87</v>
      </c>
      <c r="J24" s="11" t="s">
        <v>56</v>
      </c>
      <c r="K24" s="13" t="s">
        <v>57</v>
      </c>
      <c r="L24" s="11" t="s">
        <v>148</v>
      </c>
      <c r="M24" s="11" t="s">
        <v>149</v>
      </c>
      <c r="N24" s="14" t="s">
        <v>60</v>
      </c>
      <c r="O24" s="14"/>
      <c r="P24" s="14"/>
      <c r="Q24" s="11"/>
    </row>
    <row r="25" customFormat="false" ht="23.25" hidden="false" customHeight="true" outlineLevel="0" collapsed="false">
      <c r="A25" s="15" t="n">
        <v>2</v>
      </c>
      <c r="B25" s="10" t="s">
        <v>150</v>
      </c>
      <c r="C25" s="11" t="s">
        <v>151</v>
      </c>
      <c r="D25" s="11" t="s">
        <v>50</v>
      </c>
      <c r="E25" s="11" t="s">
        <v>152</v>
      </c>
      <c r="F25" s="11" t="s">
        <v>153</v>
      </c>
      <c r="G25" s="11" t="s">
        <v>53</v>
      </c>
      <c r="H25" s="11" t="s">
        <v>154</v>
      </c>
      <c r="I25" s="11" t="s">
        <v>87</v>
      </c>
      <c r="J25" s="11" t="s">
        <v>56</v>
      </c>
      <c r="K25" s="13" t="s">
        <v>57</v>
      </c>
      <c r="L25" s="11" t="s">
        <v>155</v>
      </c>
      <c r="M25" s="11" t="s">
        <v>156</v>
      </c>
      <c r="N25" s="14" t="s">
        <v>60</v>
      </c>
      <c r="O25" s="14"/>
      <c r="P25" s="14"/>
      <c r="Q25" s="11"/>
    </row>
    <row r="26" customFormat="false" ht="23.25" hidden="false" customHeight="true" outlineLevel="0" collapsed="false">
      <c r="A26" s="15" t="n">
        <v>2</v>
      </c>
      <c r="B26" s="10" t="s">
        <v>150</v>
      </c>
      <c r="C26" s="11" t="s">
        <v>157</v>
      </c>
      <c r="D26" s="11" t="s">
        <v>50</v>
      </c>
      <c r="E26" s="11" t="s">
        <v>152</v>
      </c>
      <c r="F26" s="11" t="s">
        <v>153</v>
      </c>
      <c r="G26" s="11" t="s">
        <v>53</v>
      </c>
      <c r="H26" s="11" t="s">
        <v>86</v>
      </c>
      <c r="I26" s="11" t="s">
        <v>87</v>
      </c>
      <c r="J26" s="11" t="s">
        <v>56</v>
      </c>
      <c r="K26" s="13" t="s">
        <v>57</v>
      </c>
      <c r="L26" s="11" t="s">
        <v>155</v>
      </c>
      <c r="M26" s="11" t="s">
        <v>158</v>
      </c>
      <c r="N26" s="14" t="s">
        <v>60</v>
      </c>
      <c r="O26" s="14"/>
      <c r="P26" s="14"/>
      <c r="Q26" s="11"/>
    </row>
    <row r="27" customFormat="false" ht="23.25" hidden="false" customHeight="true" outlineLevel="0" collapsed="false">
      <c r="A27" s="15" t="n">
        <v>2</v>
      </c>
      <c r="B27" s="10" t="s">
        <v>159</v>
      </c>
      <c r="C27" s="11" t="s">
        <v>160</v>
      </c>
      <c r="D27" s="11" t="s">
        <v>50</v>
      </c>
      <c r="E27" s="11" t="s">
        <v>161</v>
      </c>
      <c r="F27" s="11" t="s">
        <v>162</v>
      </c>
      <c r="G27" s="11" t="s">
        <v>53</v>
      </c>
      <c r="H27" s="11" t="s">
        <v>163</v>
      </c>
      <c r="I27" s="11" t="s">
        <v>164</v>
      </c>
      <c r="J27" s="11" t="s">
        <v>67</v>
      </c>
      <c r="K27" s="13" t="s">
        <v>57</v>
      </c>
      <c r="L27" s="11" t="s">
        <v>165</v>
      </c>
      <c r="M27" s="11"/>
      <c r="N27" s="14" t="s">
        <v>60</v>
      </c>
      <c r="O27" s="14"/>
      <c r="P27" s="14"/>
      <c r="Q27" s="11" t="s">
        <v>166</v>
      </c>
    </row>
    <row r="28" customFormat="false" ht="23.25" hidden="false" customHeight="true" outlineLevel="0" collapsed="false">
      <c r="A28" s="15" t="n">
        <v>2</v>
      </c>
      <c r="B28" s="10" t="s">
        <v>159</v>
      </c>
      <c r="C28" s="11" t="s">
        <v>167</v>
      </c>
      <c r="D28" s="11" t="s">
        <v>50</v>
      </c>
      <c r="E28" s="11" t="s">
        <v>161</v>
      </c>
      <c r="F28" s="11" t="s">
        <v>162</v>
      </c>
      <c r="G28" s="11" t="s">
        <v>53</v>
      </c>
      <c r="H28" s="11" t="s">
        <v>168</v>
      </c>
      <c r="I28" s="11" t="s">
        <v>87</v>
      </c>
      <c r="J28" s="11" t="s">
        <v>67</v>
      </c>
      <c r="K28" s="13" t="s">
        <v>57</v>
      </c>
      <c r="L28" s="11" t="s">
        <v>165</v>
      </c>
      <c r="M28" s="11"/>
      <c r="N28" s="14" t="s">
        <v>60</v>
      </c>
      <c r="O28" s="14"/>
      <c r="P28" s="14"/>
      <c r="Q28" s="11"/>
    </row>
    <row r="29" customFormat="false" ht="23.25" hidden="false" customHeight="true" outlineLevel="0" collapsed="false">
      <c r="A29" s="15" t="n">
        <v>2</v>
      </c>
      <c r="B29" s="10" t="s">
        <v>169</v>
      </c>
      <c r="C29" s="11" t="s">
        <v>170</v>
      </c>
      <c r="D29" s="11" t="s">
        <v>50</v>
      </c>
      <c r="E29" s="11" t="s">
        <v>171</v>
      </c>
      <c r="F29" s="11" t="s">
        <v>172</v>
      </c>
      <c r="G29" s="11" t="s">
        <v>85</v>
      </c>
      <c r="H29" s="11" t="s">
        <v>86</v>
      </c>
      <c r="I29" s="11" t="s">
        <v>115</v>
      </c>
      <c r="J29" s="11" t="s">
        <v>173</v>
      </c>
      <c r="K29" s="13" t="s">
        <v>57</v>
      </c>
      <c r="L29" s="11" t="s">
        <v>58</v>
      </c>
      <c r="M29" s="11" t="s">
        <v>174</v>
      </c>
      <c r="N29" s="14" t="s">
        <v>60</v>
      </c>
      <c r="O29" s="14"/>
      <c r="P29" s="14"/>
      <c r="Q29" s="11"/>
    </row>
    <row r="30" customFormat="false" ht="23.25" hidden="false" customHeight="true" outlineLevel="0" collapsed="false">
      <c r="A30" s="15" t="n">
        <v>2</v>
      </c>
      <c r="B30" s="10" t="s">
        <v>169</v>
      </c>
      <c r="C30" s="11" t="s">
        <v>175</v>
      </c>
      <c r="D30" s="11" t="s">
        <v>50</v>
      </c>
      <c r="E30" s="11" t="s">
        <v>171</v>
      </c>
      <c r="F30" s="11" t="s">
        <v>172</v>
      </c>
      <c r="G30" s="11" t="s">
        <v>85</v>
      </c>
      <c r="H30" s="11" t="s">
        <v>86</v>
      </c>
      <c r="I30" s="11" t="s">
        <v>87</v>
      </c>
      <c r="J30" s="11" t="s">
        <v>56</v>
      </c>
      <c r="K30" s="13" t="s">
        <v>57</v>
      </c>
      <c r="L30" s="11" t="s">
        <v>58</v>
      </c>
      <c r="M30" s="11" t="s">
        <v>176</v>
      </c>
      <c r="N30" s="14" t="s">
        <v>60</v>
      </c>
      <c r="O30" s="14"/>
      <c r="P30" s="14"/>
      <c r="Q30" s="11"/>
    </row>
    <row r="31" customFormat="false" ht="23.25" hidden="false" customHeight="true" outlineLevel="0" collapsed="false">
      <c r="A31" s="15" t="n">
        <v>2</v>
      </c>
      <c r="B31" s="10" t="s">
        <v>169</v>
      </c>
      <c r="C31" s="11" t="s">
        <v>177</v>
      </c>
      <c r="D31" s="11" t="s">
        <v>50</v>
      </c>
      <c r="E31" s="11" t="s">
        <v>171</v>
      </c>
      <c r="F31" s="11" t="s">
        <v>172</v>
      </c>
      <c r="G31" s="11" t="s">
        <v>85</v>
      </c>
      <c r="H31" s="11" t="s">
        <v>86</v>
      </c>
      <c r="I31" s="11" t="s">
        <v>87</v>
      </c>
      <c r="J31" s="11" t="s">
        <v>56</v>
      </c>
      <c r="K31" s="13" t="s">
        <v>57</v>
      </c>
      <c r="L31" s="11" t="s">
        <v>58</v>
      </c>
      <c r="M31" s="11" t="s">
        <v>178</v>
      </c>
      <c r="N31" s="14" t="s">
        <v>60</v>
      </c>
      <c r="O31" s="14"/>
      <c r="P31" s="14"/>
      <c r="Q31" s="11"/>
    </row>
    <row r="32" customFormat="false" ht="23.25" hidden="false" customHeight="true" outlineLevel="0" collapsed="false">
      <c r="A32" s="15" t="n">
        <v>2</v>
      </c>
      <c r="B32" s="10" t="s">
        <v>169</v>
      </c>
      <c r="C32" s="11" t="s">
        <v>179</v>
      </c>
      <c r="D32" s="11" t="s">
        <v>50</v>
      </c>
      <c r="E32" s="11" t="s">
        <v>171</v>
      </c>
      <c r="F32" s="11" t="s">
        <v>172</v>
      </c>
      <c r="G32" s="11" t="s">
        <v>85</v>
      </c>
      <c r="H32" s="11" t="s">
        <v>86</v>
      </c>
      <c r="I32" s="11" t="s">
        <v>87</v>
      </c>
      <c r="J32" s="11" t="s">
        <v>180</v>
      </c>
      <c r="K32" s="13" t="s">
        <v>57</v>
      </c>
      <c r="L32" s="11" t="s">
        <v>58</v>
      </c>
      <c r="M32" s="11" t="s">
        <v>181</v>
      </c>
      <c r="N32" s="14" t="s">
        <v>60</v>
      </c>
      <c r="O32" s="14"/>
      <c r="P32" s="14"/>
      <c r="Q32" s="11" t="s">
        <v>182</v>
      </c>
    </row>
    <row r="33" customFormat="false" ht="23.25" hidden="false" customHeight="true" outlineLevel="0" collapsed="false">
      <c r="A33" s="15" t="n">
        <v>2</v>
      </c>
      <c r="B33" s="10" t="s">
        <v>169</v>
      </c>
      <c r="C33" s="11" t="s">
        <v>183</v>
      </c>
      <c r="D33" s="11" t="s">
        <v>50</v>
      </c>
      <c r="E33" s="11" t="s">
        <v>171</v>
      </c>
      <c r="F33" s="11" t="s">
        <v>172</v>
      </c>
      <c r="G33" s="11" t="s">
        <v>85</v>
      </c>
      <c r="H33" s="11" t="s">
        <v>86</v>
      </c>
      <c r="I33" s="11" t="s">
        <v>87</v>
      </c>
      <c r="J33" s="11" t="s">
        <v>56</v>
      </c>
      <c r="K33" s="13" t="s">
        <v>57</v>
      </c>
      <c r="L33" s="11" t="s">
        <v>58</v>
      </c>
      <c r="M33" s="11" t="s">
        <v>184</v>
      </c>
      <c r="N33" s="14" t="s">
        <v>60</v>
      </c>
      <c r="O33" s="14"/>
      <c r="P33" s="14"/>
      <c r="Q33" s="11"/>
    </row>
    <row r="34" customFormat="false" ht="23.25" hidden="false" customHeight="true" outlineLevel="0" collapsed="false">
      <c r="A34" s="15" t="n">
        <v>2</v>
      </c>
      <c r="B34" s="10" t="s">
        <v>169</v>
      </c>
      <c r="C34" s="11" t="s">
        <v>185</v>
      </c>
      <c r="D34" s="11" t="s">
        <v>50</v>
      </c>
      <c r="E34" s="11" t="s">
        <v>171</v>
      </c>
      <c r="F34" s="11" t="s">
        <v>172</v>
      </c>
      <c r="G34" s="11" t="s">
        <v>85</v>
      </c>
      <c r="H34" s="11" t="s">
        <v>86</v>
      </c>
      <c r="I34" s="11" t="s">
        <v>87</v>
      </c>
      <c r="J34" s="11" t="s">
        <v>56</v>
      </c>
      <c r="K34" s="13" t="s">
        <v>57</v>
      </c>
      <c r="L34" s="11" t="s">
        <v>58</v>
      </c>
      <c r="M34" s="11" t="s">
        <v>186</v>
      </c>
      <c r="N34" s="14" t="s">
        <v>60</v>
      </c>
      <c r="O34" s="14"/>
      <c r="P34" s="14"/>
      <c r="Q34" s="11"/>
    </row>
    <row r="35" customFormat="false" ht="23.25" hidden="false" customHeight="true" outlineLevel="0" collapsed="false">
      <c r="A35" s="15" t="n">
        <v>2</v>
      </c>
      <c r="B35" s="10" t="s">
        <v>169</v>
      </c>
      <c r="C35" s="11" t="s">
        <v>187</v>
      </c>
      <c r="D35" s="11" t="s">
        <v>50</v>
      </c>
      <c r="E35" s="11" t="s">
        <v>171</v>
      </c>
      <c r="F35" s="11" t="s">
        <v>172</v>
      </c>
      <c r="G35" s="11" t="s">
        <v>85</v>
      </c>
      <c r="H35" s="11" t="s">
        <v>86</v>
      </c>
      <c r="I35" s="11" t="s">
        <v>87</v>
      </c>
      <c r="J35" s="11" t="s">
        <v>56</v>
      </c>
      <c r="K35" s="13" t="s">
        <v>57</v>
      </c>
      <c r="L35" s="11" t="s">
        <v>58</v>
      </c>
      <c r="M35" s="11" t="s">
        <v>188</v>
      </c>
      <c r="N35" s="14" t="s">
        <v>60</v>
      </c>
      <c r="O35" s="14"/>
      <c r="P35" s="14"/>
      <c r="Q35" s="11"/>
    </row>
    <row r="36" customFormat="false" ht="23.25" hidden="false" customHeight="true" outlineLevel="0" collapsed="false">
      <c r="A36" s="15" t="n">
        <v>2</v>
      </c>
      <c r="B36" s="10" t="s">
        <v>189</v>
      </c>
      <c r="C36" s="11" t="s">
        <v>190</v>
      </c>
      <c r="D36" s="11" t="s">
        <v>191</v>
      </c>
      <c r="E36" s="11" t="s">
        <v>192</v>
      </c>
      <c r="F36" s="11" t="s">
        <v>193</v>
      </c>
      <c r="G36" s="16" t="s">
        <v>194</v>
      </c>
      <c r="H36" s="11" t="s">
        <v>86</v>
      </c>
      <c r="I36" s="11" t="s">
        <v>164</v>
      </c>
      <c r="J36" s="11" t="s">
        <v>67</v>
      </c>
      <c r="K36" s="13" t="s">
        <v>57</v>
      </c>
      <c r="L36" s="11" t="s">
        <v>58</v>
      </c>
      <c r="M36" s="11" t="s">
        <v>195</v>
      </c>
      <c r="N36" s="14" t="s">
        <v>60</v>
      </c>
      <c r="O36" s="14"/>
      <c r="P36" s="14"/>
      <c r="Q36" s="11" t="s">
        <v>196</v>
      </c>
    </row>
    <row r="37" customFormat="false" ht="23.25" hidden="false" customHeight="true" outlineLevel="0" collapsed="false">
      <c r="A37" s="15" t="n">
        <v>2</v>
      </c>
      <c r="B37" s="10" t="s">
        <v>189</v>
      </c>
      <c r="C37" s="11" t="s">
        <v>197</v>
      </c>
      <c r="D37" s="11" t="s">
        <v>50</v>
      </c>
      <c r="E37" s="11" t="s">
        <v>192</v>
      </c>
      <c r="F37" s="11" t="s">
        <v>193</v>
      </c>
      <c r="G37" s="11" t="s">
        <v>53</v>
      </c>
      <c r="H37" s="11" t="s">
        <v>86</v>
      </c>
      <c r="I37" s="11" t="s">
        <v>78</v>
      </c>
      <c r="J37" s="11" t="s">
        <v>67</v>
      </c>
      <c r="K37" s="13" t="s">
        <v>57</v>
      </c>
      <c r="L37" s="11" t="s">
        <v>58</v>
      </c>
      <c r="M37" s="11" t="s">
        <v>198</v>
      </c>
      <c r="N37" s="14" t="s">
        <v>60</v>
      </c>
      <c r="O37" s="14"/>
      <c r="P37" s="14"/>
      <c r="Q37" s="11"/>
    </row>
    <row r="38" customFormat="false" ht="23.25" hidden="false" customHeight="true" outlineLevel="0" collapsed="false">
      <c r="A38" s="15" t="n">
        <v>2</v>
      </c>
      <c r="B38" s="10" t="s">
        <v>199</v>
      </c>
      <c r="C38" s="11" t="s">
        <v>200</v>
      </c>
      <c r="D38" s="11" t="s">
        <v>201</v>
      </c>
      <c r="E38" s="11" t="s">
        <v>202</v>
      </c>
      <c r="F38" s="11" t="s">
        <v>203</v>
      </c>
      <c r="G38" s="11" t="s">
        <v>204</v>
      </c>
      <c r="H38" s="11" t="s">
        <v>205</v>
      </c>
      <c r="I38" s="11" t="s">
        <v>164</v>
      </c>
      <c r="J38" s="11" t="s">
        <v>111</v>
      </c>
      <c r="K38" s="13" t="s">
        <v>57</v>
      </c>
      <c r="L38" s="11" t="s">
        <v>206</v>
      </c>
      <c r="M38" s="11"/>
      <c r="N38" s="14" t="s">
        <v>60</v>
      </c>
      <c r="O38" s="14"/>
      <c r="P38" s="14"/>
      <c r="Q38" s="11"/>
    </row>
    <row r="39" customFormat="false" ht="23.25" hidden="false" customHeight="true" outlineLevel="0" collapsed="false">
      <c r="A39" s="15" t="n">
        <v>2</v>
      </c>
      <c r="B39" s="10" t="s">
        <v>199</v>
      </c>
      <c r="C39" s="11" t="s">
        <v>207</v>
      </c>
      <c r="D39" s="11" t="s">
        <v>201</v>
      </c>
      <c r="E39" s="11" t="s">
        <v>202</v>
      </c>
      <c r="F39" s="11" t="s">
        <v>203</v>
      </c>
      <c r="G39" s="11" t="s">
        <v>208</v>
      </c>
      <c r="H39" s="11" t="s">
        <v>209</v>
      </c>
      <c r="I39" s="11" t="s">
        <v>164</v>
      </c>
      <c r="J39" s="11" t="s">
        <v>56</v>
      </c>
      <c r="K39" s="13" t="s">
        <v>57</v>
      </c>
      <c r="L39" s="11" t="s">
        <v>206</v>
      </c>
      <c r="M39" s="11"/>
      <c r="N39" s="14" t="s">
        <v>60</v>
      </c>
      <c r="O39" s="14"/>
      <c r="P39" s="14"/>
      <c r="Q39" s="11" t="s">
        <v>210</v>
      </c>
    </row>
    <row r="40" customFormat="false" ht="23.25" hidden="false" customHeight="true" outlineLevel="0" collapsed="false">
      <c r="A40" s="15" t="n">
        <v>2</v>
      </c>
      <c r="B40" s="10" t="s">
        <v>199</v>
      </c>
      <c r="C40" s="11" t="s">
        <v>211</v>
      </c>
      <c r="D40" s="11" t="s">
        <v>201</v>
      </c>
      <c r="E40" s="11" t="s">
        <v>202</v>
      </c>
      <c r="F40" s="11" t="s">
        <v>203</v>
      </c>
      <c r="G40" s="11" t="s">
        <v>204</v>
      </c>
      <c r="H40" s="11" t="s">
        <v>205</v>
      </c>
      <c r="I40" s="11" t="s">
        <v>87</v>
      </c>
      <c r="J40" s="11" t="s">
        <v>111</v>
      </c>
      <c r="K40" s="13" t="s">
        <v>57</v>
      </c>
      <c r="L40" s="11" t="s">
        <v>206</v>
      </c>
      <c r="M40" s="11"/>
      <c r="N40" s="14" t="s">
        <v>60</v>
      </c>
      <c r="O40" s="14"/>
      <c r="P40" s="14"/>
      <c r="Q40" s="11"/>
    </row>
    <row r="41" customFormat="false" ht="23.25" hidden="false" customHeight="true" outlineLevel="0" collapsed="false">
      <c r="A41" s="15" t="n">
        <v>2</v>
      </c>
      <c r="B41" s="10" t="s">
        <v>212</v>
      </c>
      <c r="C41" s="11" t="s">
        <v>213</v>
      </c>
      <c r="D41" s="11" t="s">
        <v>50</v>
      </c>
      <c r="E41" s="11" t="s">
        <v>192</v>
      </c>
      <c r="F41" s="11" t="s">
        <v>214</v>
      </c>
      <c r="G41" s="17" t="s">
        <v>215</v>
      </c>
      <c r="H41" s="11" t="s">
        <v>216</v>
      </c>
      <c r="I41" s="11" t="s">
        <v>164</v>
      </c>
      <c r="J41" s="11" t="s">
        <v>111</v>
      </c>
      <c r="K41" s="13" t="s">
        <v>57</v>
      </c>
      <c r="L41" s="11" t="s">
        <v>58</v>
      </c>
      <c r="M41" s="11" t="s">
        <v>217</v>
      </c>
      <c r="N41" s="14" t="s">
        <v>60</v>
      </c>
      <c r="O41" s="14"/>
      <c r="P41" s="14"/>
      <c r="Q41" s="11" t="s">
        <v>218</v>
      </c>
    </row>
    <row r="42" customFormat="false" ht="23.25" hidden="false" customHeight="true" outlineLevel="0" collapsed="false">
      <c r="A42" s="15" t="n">
        <v>2</v>
      </c>
      <c r="B42" s="10" t="s">
        <v>212</v>
      </c>
      <c r="C42" s="11" t="s">
        <v>219</v>
      </c>
      <c r="D42" s="11" t="s">
        <v>50</v>
      </c>
      <c r="E42" s="11" t="s">
        <v>192</v>
      </c>
      <c r="F42" s="11" t="s">
        <v>214</v>
      </c>
      <c r="G42" s="17" t="s">
        <v>220</v>
      </c>
      <c r="H42" s="11" t="s">
        <v>221</v>
      </c>
      <c r="I42" s="11" t="s">
        <v>87</v>
      </c>
      <c r="J42" s="11" t="s">
        <v>56</v>
      </c>
      <c r="K42" s="13" t="s">
        <v>57</v>
      </c>
      <c r="L42" s="11" t="s">
        <v>58</v>
      </c>
      <c r="M42" s="11" t="s">
        <v>222</v>
      </c>
      <c r="N42" s="14" t="s">
        <v>60</v>
      </c>
      <c r="O42" s="14"/>
      <c r="P42" s="14"/>
      <c r="Q42" s="11"/>
    </row>
    <row r="43" customFormat="false" ht="23.25" hidden="false" customHeight="true" outlineLevel="0" collapsed="false">
      <c r="A43" s="15" t="n">
        <v>2</v>
      </c>
      <c r="B43" s="10" t="s">
        <v>223</v>
      </c>
      <c r="C43" s="11" t="s">
        <v>224</v>
      </c>
      <c r="D43" s="11" t="s">
        <v>50</v>
      </c>
      <c r="E43" s="11" t="s">
        <v>171</v>
      </c>
      <c r="F43" s="11" t="s">
        <v>225</v>
      </c>
      <c r="G43" s="11" t="s">
        <v>85</v>
      </c>
      <c r="H43" s="12" t="s">
        <v>226</v>
      </c>
      <c r="I43" s="11" t="s">
        <v>87</v>
      </c>
      <c r="J43" s="11" t="s">
        <v>106</v>
      </c>
      <c r="K43" s="13" t="s">
        <v>57</v>
      </c>
      <c r="L43" s="11" t="s">
        <v>227</v>
      </c>
      <c r="M43" s="11" t="s">
        <v>228</v>
      </c>
      <c r="N43" s="14" t="s">
        <v>60</v>
      </c>
      <c r="O43" s="14"/>
      <c r="P43" s="14"/>
      <c r="Q43" s="11" t="s">
        <v>229</v>
      </c>
    </row>
    <row r="44" customFormat="false" ht="23.25" hidden="false" customHeight="true" outlineLevel="0" collapsed="false">
      <c r="A44" s="15" t="n">
        <v>2</v>
      </c>
      <c r="B44" s="10" t="s">
        <v>223</v>
      </c>
      <c r="C44" s="11" t="s">
        <v>230</v>
      </c>
      <c r="D44" s="11" t="s">
        <v>50</v>
      </c>
      <c r="E44" s="11" t="s">
        <v>171</v>
      </c>
      <c r="F44" s="11" t="s">
        <v>225</v>
      </c>
      <c r="G44" s="11" t="s">
        <v>85</v>
      </c>
      <c r="H44" s="12" t="s">
        <v>226</v>
      </c>
      <c r="I44" s="11" t="s">
        <v>87</v>
      </c>
      <c r="J44" s="11" t="s">
        <v>56</v>
      </c>
      <c r="K44" s="13" t="s">
        <v>57</v>
      </c>
      <c r="L44" s="11" t="s">
        <v>227</v>
      </c>
      <c r="M44" s="11" t="s">
        <v>231</v>
      </c>
      <c r="N44" s="14" t="s">
        <v>60</v>
      </c>
      <c r="O44" s="14"/>
      <c r="P44" s="14"/>
      <c r="Q44" s="11"/>
    </row>
    <row r="45" customFormat="false" ht="23.25" hidden="false" customHeight="true" outlineLevel="0" collapsed="false">
      <c r="A45" s="15" t="n">
        <v>2</v>
      </c>
      <c r="B45" s="10" t="s">
        <v>223</v>
      </c>
      <c r="C45" s="11" t="s">
        <v>232</v>
      </c>
      <c r="D45" s="11" t="s">
        <v>50</v>
      </c>
      <c r="E45" s="11" t="s">
        <v>171</v>
      </c>
      <c r="F45" s="11" t="s">
        <v>225</v>
      </c>
      <c r="G45" s="11" t="s">
        <v>85</v>
      </c>
      <c r="H45" s="12" t="s">
        <v>226</v>
      </c>
      <c r="I45" s="11" t="s">
        <v>87</v>
      </c>
      <c r="J45" s="11" t="s">
        <v>106</v>
      </c>
      <c r="K45" s="13" t="s">
        <v>57</v>
      </c>
      <c r="L45" s="11" t="s">
        <v>227</v>
      </c>
      <c r="M45" s="11" t="s">
        <v>233</v>
      </c>
      <c r="N45" s="14" t="s">
        <v>60</v>
      </c>
      <c r="O45" s="14"/>
      <c r="P45" s="14"/>
      <c r="Q45" s="11" t="s">
        <v>234</v>
      </c>
    </row>
    <row r="46" customFormat="false" ht="23.25" hidden="false" customHeight="true" outlineLevel="0" collapsed="false">
      <c r="A46" s="15" t="n">
        <v>2</v>
      </c>
      <c r="B46" s="10" t="s">
        <v>223</v>
      </c>
      <c r="C46" s="11" t="s">
        <v>235</v>
      </c>
      <c r="D46" s="11" t="s">
        <v>50</v>
      </c>
      <c r="E46" s="11" t="s">
        <v>171</v>
      </c>
      <c r="F46" s="11" t="s">
        <v>225</v>
      </c>
      <c r="G46" s="11" t="s">
        <v>85</v>
      </c>
      <c r="H46" s="12" t="s">
        <v>226</v>
      </c>
      <c r="I46" s="11" t="s">
        <v>115</v>
      </c>
      <c r="J46" s="11" t="s">
        <v>106</v>
      </c>
      <c r="K46" s="13" t="s">
        <v>57</v>
      </c>
      <c r="L46" s="11" t="s">
        <v>227</v>
      </c>
      <c r="M46" s="11" t="s">
        <v>236</v>
      </c>
      <c r="N46" s="14" t="s">
        <v>60</v>
      </c>
      <c r="O46" s="14"/>
      <c r="P46" s="14"/>
      <c r="Q46" s="11"/>
    </row>
    <row r="47" customFormat="false" ht="23.25" hidden="false" customHeight="true" outlineLevel="0" collapsed="false">
      <c r="A47" s="15" t="n">
        <v>2</v>
      </c>
      <c r="B47" s="10" t="s">
        <v>223</v>
      </c>
      <c r="C47" s="11" t="s">
        <v>237</v>
      </c>
      <c r="D47" s="11" t="s">
        <v>50</v>
      </c>
      <c r="E47" s="11" t="s">
        <v>171</v>
      </c>
      <c r="F47" s="11" t="s">
        <v>225</v>
      </c>
      <c r="G47" s="11" t="s">
        <v>85</v>
      </c>
      <c r="H47" s="12" t="s">
        <v>226</v>
      </c>
      <c r="I47" s="11" t="s">
        <v>164</v>
      </c>
      <c r="J47" s="11" t="s">
        <v>56</v>
      </c>
      <c r="K47" s="13" t="s">
        <v>57</v>
      </c>
      <c r="L47" s="11" t="s">
        <v>227</v>
      </c>
      <c r="M47" s="11" t="s">
        <v>238</v>
      </c>
      <c r="N47" s="14" t="s">
        <v>60</v>
      </c>
      <c r="O47" s="14"/>
      <c r="P47" s="14"/>
      <c r="Q47" s="11" t="s">
        <v>239</v>
      </c>
    </row>
    <row r="48" customFormat="false" ht="23.25" hidden="false" customHeight="true" outlineLevel="0" collapsed="false">
      <c r="A48" s="15" t="n">
        <v>2</v>
      </c>
      <c r="B48" s="10" t="s">
        <v>223</v>
      </c>
      <c r="C48" s="11" t="s">
        <v>240</v>
      </c>
      <c r="D48" s="11" t="s">
        <v>50</v>
      </c>
      <c r="E48" s="11" t="s">
        <v>171</v>
      </c>
      <c r="F48" s="11" t="s">
        <v>225</v>
      </c>
      <c r="G48" s="11" t="s">
        <v>85</v>
      </c>
      <c r="H48" s="12" t="s">
        <v>226</v>
      </c>
      <c r="I48" s="11" t="s">
        <v>87</v>
      </c>
      <c r="J48" s="11" t="s">
        <v>56</v>
      </c>
      <c r="K48" s="13" t="s">
        <v>57</v>
      </c>
      <c r="L48" s="11" t="s">
        <v>227</v>
      </c>
      <c r="M48" s="11" t="s">
        <v>241</v>
      </c>
      <c r="N48" s="14" t="s">
        <v>60</v>
      </c>
      <c r="O48" s="14"/>
      <c r="P48" s="14"/>
      <c r="Q48" s="11"/>
    </row>
    <row r="49" customFormat="false" ht="23.25" hidden="false" customHeight="true" outlineLevel="0" collapsed="false">
      <c r="A49" s="15" t="n">
        <v>2</v>
      </c>
      <c r="B49" s="10" t="s">
        <v>223</v>
      </c>
      <c r="C49" s="11" t="s">
        <v>242</v>
      </c>
      <c r="D49" s="11" t="s">
        <v>50</v>
      </c>
      <c r="E49" s="11" t="s">
        <v>171</v>
      </c>
      <c r="F49" s="11" t="s">
        <v>225</v>
      </c>
      <c r="G49" s="11" t="s">
        <v>85</v>
      </c>
      <c r="H49" s="12" t="s">
        <v>226</v>
      </c>
      <c r="I49" s="11" t="s">
        <v>87</v>
      </c>
      <c r="J49" s="11" t="s">
        <v>56</v>
      </c>
      <c r="K49" s="13" t="s">
        <v>57</v>
      </c>
      <c r="L49" s="11" t="s">
        <v>227</v>
      </c>
      <c r="M49" s="11" t="s">
        <v>243</v>
      </c>
      <c r="N49" s="14" t="s">
        <v>60</v>
      </c>
      <c r="O49" s="14"/>
      <c r="P49" s="14"/>
      <c r="Q49" s="11" t="s">
        <v>244</v>
      </c>
    </row>
    <row r="50" customFormat="false" ht="23.25" hidden="false" customHeight="true" outlineLevel="0" collapsed="false">
      <c r="A50" s="15" t="n">
        <v>2</v>
      </c>
      <c r="B50" s="10" t="s">
        <v>223</v>
      </c>
      <c r="C50" s="11" t="s">
        <v>245</v>
      </c>
      <c r="D50" s="11" t="s">
        <v>50</v>
      </c>
      <c r="E50" s="11" t="s">
        <v>171</v>
      </c>
      <c r="F50" s="11" t="s">
        <v>225</v>
      </c>
      <c r="G50" s="11" t="s">
        <v>85</v>
      </c>
      <c r="H50" s="12" t="s">
        <v>246</v>
      </c>
      <c r="I50" s="11" t="s">
        <v>164</v>
      </c>
      <c r="J50" s="11" t="s">
        <v>180</v>
      </c>
      <c r="K50" s="13" t="s">
        <v>57</v>
      </c>
      <c r="L50" s="11" t="s">
        <v>227</v>
      </c>
      <c r="M50" s="11" t="s">
        <v>247</v>
      </c>
      <c r="N50" s="14" t="s">
        <v>60</v>
      </c>
      <c r="O50" s="14"/>
      <c r="P50" s="14"/>
      <c r="Q50" s="11" t="s">
        <v>248</v>
      </c>
    </row>
    <row r="51" customFormat="false" ht="23.25" hidden="false" customHeight="true" outlineLevel="0" collapsed="false">
      <c r="A51" s="15" t="n">
        <v>2</v>
      </c>
      <c r="B51" s="10" t="s">
        <v>249</v>
      </c>
      <c r="C51" s="11" t="s">
        <v>250</v>
      </c>
      <c r="D51" s="11" t="s">
        <v>50</v>
      </c>
      <c r="E51" s="11" t="s">
        <v>152</v>
      </c>
      <c r="F51" s="11" t="s">
        <v>251</v>
      </c>
      <c r="G51" s="11" t="s">
        <v>53</v>
      </c>
      <c r="H51" s="11" t="s">
        <v>86</v>
      </c>
      <c r="I51" s="11" t="s">
        <v>78</v>
      </c>
      <c r="J51" s="11" t="s">
        <v>67</v>
      </c>
      <c r="K51" s="13" t="s">
        <v>57</v>
      </c>
      <c r="L51" s="11" t="s">
        <v>99</v>
      </c>
      <c r="M51" s="11" t="s">
        <v>252</v>
      </c>
      <c r="N51" s="14" t="s">
        <v>60</v>
      </c>
      <c r="O51" s="14"/>
      <c r="P51" s="14"/>
      <c r="Q51" s="11"/>
    </row>
    <row r="52" customFormat="false" ht="23.25" hidden="false" customHeight="true" outlineLevel="0" collapsed="false">
      <c r="A52" s="15" t="n">
        <v>2</v>
      </c>
      <c r="B52" s="10" t="s">
        <v>249</v>
      </c>
      <c r="C52" s="11" t="s">
        <v>253</v>
      </c>
      <c r="D52" s="11" t="s">
        <v>50</v>
      </c>
      <c r="E52" s="11" t="s">
        <v>152</v>
      </c>
      <c r="F52" s="11" t="s">
        <v>251</v>
      </c>
      <c r="G52" s="11" t="s">
        <v>53</v>
      </c>
      <c r="H52" s="11" t="s">
        <v>254</v>
      </c>
      <c r="I52" s="11" t="s">
        <v>78</v>
      </c>
      <c r="J52" s="11" t="s">
        <v>67</v>
      </c>
      <c r="K52" s="13" t="s">
        <v>57</v>
      </c>
      <c r="L52" s="11" t="s">
        <v>99</v>
      </c>
      <c r="M52" s="11" t="s">
        <v>255</v>
      </c>
      <c r="N52" s="14" t="s">
        <v>60</v>
      </c>
      <c r="O52" s="14"/>
      <c r="P52" s="14"/>
      <c r="Q52" s="11"/>
    </row>
    <row r="53" customFormat="false" ht="23.25" hidden="false" customHeight="true" outlineLevel="0" collapsed="false">
      <c r="A53" s="15" t="n">
        <v>2</v>
      </c>
      <c r="B53" s="10" t="s">
        <v>249</v>
      </c>
      <c r="C53" s="11" t="s">
        <v>256</v>
      </c>
      <c r="D53" s="11" t="s">
        <v>257</v>
      </c>
      <c r="E53" s="11" t="s">
        <v>152</v>
      </c>
      <c r="F53" s="11" t="s">
        <v>251</v>
      </c>
      <c r="G53" s="11" t="s">
        <v>53</v>
      </c>
      <c r="H53" s="11" t="s">
        <v>86</v>
      </c>
      <c r="I53" s="11" t="s">
        <v>87</v>
      </c>
      <c r="J53" s="11" t="s">
        <v>111</v>
      </c>
      <c r="K53" s="13" t="s">
        <v>57</v>
      </c>
      <c r="L53" s="11" t="s">
        <v>99</v>
      </c>
      <c r="M53" s="11" t="s">
        <v>258</v>
      </c>
      <c r="N53" s="14" t="s">
        <v>60</v>
      </c>
      <c r="O53" s="14"/>
      <c r="P53" s="14"/>
      <c r="Q53" s="11"/>
    </row>
    <row r="54" customFormat="false" ht="23.25" hidden="false" customHeight="true" outlineLevel="0" collapsed="false">
      <c r="A54" s="15" t="n">
        <v>2</v>
      </c>
      <c r="B54" s="10" t="s">
        <v>249</v>
      </c>
      <c r="C54" s="11" t="s">
        <v>259</v>
      </c>
      <c r="D54" s="11" t="s">
        <v>257</v>
      </c>
      <c r="E54" s="11" t="s">
        <v>152</v>
      </c>
      <c r="F54" s="11" t="s">
        <v>251</v>
      </c>
      <c r="G54" s="11" t="s">
        <v>53</v>
      </c>
      <c r="H54" s="11" t="s">
        <v>86</v>
      </c>
      <c r="I54" s="11" t="s">
        <v>87</v>
      </c>
      <c r="J54" s="11" t="s">
        <v>56</v>
      </c>
      <c r="K54" s="13" t="s">
        <v>57</v>
      </c>
      <c r="L54" s="11" t="s">
        <v>99</v>
      </c>
      <c r="M54" s="11" t="s">
        <v>260</v>
      </c>
      <c r="N54" s="14" t="s">
        <v>60</v>
      </c>
      <c r="O54" s="14"/>
      <c r="P54" s="14"/>
      <c r="Q54" s="11"/>
    </row>
    <row r="55" customFormat="false" ht="23.25" hidden="false" customHeight="true" outlineLevel="0" collapsed="false">
      <c r="A55" s="15" t="n">
        <v>2</v>
      </c>
      <c r="B55" s="10" t="s">
        <v>249</v>
      </c>
      <c r="C55" s="11" t="s">
        <v>261</v>
      </c>
      <c r="D55" s="11" t="s">
        <v>257</v>
      </c>
      <c r="E55" s="11" t="s">
        <v>152</v>
      </c>
      <c r="F55" s="11" t="s">
        <v>251</v>
      </c>
      <c r="G55" s="11" t="s">
        <v>53</v>
      </c>
      <c r="H55" s="11" t="s">
        <v>86</v>
      </c>
      <c r="I55" s="11" t="s">
        <v>87</v>
      </c>
      <c r="J55" s="11" t="s">
        <v>56</v>
      </c>
      <c r="K55" s="13" t="s">
        <v>57</v>
      </c>
      <c r="L55" s="11" t="s">
        <v>99</v>
      </c>
      <c r="M55" s="11" t="s">
        <v>262</v>
      </c>
      <c r="N55" s="14" t="s">
        <v>60</v>
      </c>
      <c r="O55" s="14"/>
      <c r="P55" s="14"/>
      <c r="Q55" s="11"/>
    </row>
    <row r="56" customFormat="false" ht="23.25" hidden="false" customHeight="true" outlineLevel="0" collapsed="false">
      <c r="A56" s="15" t="n">
        <v>2</v>
      </c>
      <c r="B56" s="10" t="s">
        <v>249</v>
      </c>
      <c r="C56" s="11" t="s">
        <v>263</v>
      </c>
      <c r="D56" s="11" t="s">
        <v>257</v>
      </c>
      <c r="E56" s="11" t="s">
        <v>152</v>
      </c>
      <c r="F56" s="11" t="s">
        <v>251</v>
      </c>
      <c r="G56" s="11" t="s">
        <v>53</v>
      </c>
      <c r="H56" s="11" t="s">
        <v>264</v>
      </c>
      <c r="I56" s="11" t="s">
        <v>87</v>
      </c>
      <c r="J56" s="11" t="s">
        <v>56</v>
      </c>
      <c r="K56" s="13" t="s">
        <v>57</v>
      </c>
      <c r="L56" s="11" t="s">
        <v>99</v>
      </c>
      <c r="M56" s="11" t="s">
        <v>265</v>
      </c>
      <c r="N56" s="14" t="s">
        <v>60</v>
      </c>
      <c r="O56" s="14"/>
      <c r="P56" s="14"/>
      <c r="Q56" s="11"/>
    </row>
    <row r="57" customFormat="false" ht="23.25" hidden="false" customHeight="true" outlineLevel="0" collapsed="false">
      <c r="A57" s="15" t="n">
        <v>2</v>
      </c>
      <c r="B57" s="10" t="s">
        <v>266</v>
      </c>
      <c r="C57" s="11" t="s">
        <v>267</v>
      </c>
      <c r="D57" s="11" t="s">
        <v>50</v>
      </c>
      <c r="E57" s="11" t="s">
        <v>171</v>
      </c>
      <c r="F57" s="11" t="s">
        <v>268</v>
      </c>
      <c r="G57" s="11" t="s">
        <v>85</v>
      </c>
      <c r="H57" s="11" t="s">
        <v>269</v>
      </c>
      <c r="I57" s="11" t="s">
        <v>87</v>
      </c>
      <c r="J57" s="11" t="s">
        <v>56</v>
      </c>
      <c r="K57" s="13" t="s">
        <v>57</v>
      </c>
      <c r="L57" s="11" t="s">
        <v>58</v>
      </c>
      <c r="M57" s="11" t="s">
        <v>270</v>
      </c>
      <c r="N57" s="14" t="s">
        <v>60</v>
      </c>
      <c r="O57" s="14"/>
      <c r="P57" s="14"/>
      <c r="Q57" s="11"/>
    </row>
    <row r="58" customFormat="false" ht="23.25" hidden="false" customHeight="true" outlineLevel="0" collapsed="false">
      <c r="A58" s="15" t="n">
        <v>2</v>
      </c>
      <c r="B58" s="10" t="s">
        <v>266</v>
      </c>
      <c r="C58" s="11" t="s">
        <v>271</v>
      </c>
      <c r="D58" s="11" t="s">
        <v>50</v>
      </c>
      <c r="E58" s="11" t="s">
        <v>171</v>
      </c>
      <c r="F58" s="11" t="s">
        <v>268</v>
      </c>
      <c r="G58" s="11" t="s">
        <v>85</v>
      </c>
      <c r="H58" s="11" t="s">
        <v>272</v>
      </c>
      <c r="I58" s="11" t="s">
        <v>115</v>
      </c>
      <c r="J58" s="11" t="s">
        <v>56</v>
      </c>
      <c r="K58" s="13" t="s">
        <v>57</v>
      </c>
      <c r="L58" s="11" t="s">
        <v>58</v>
      </c>
      <c r="M58" s="11" t="s">
        <v>273</v>
      </c>
      <c r="N58" s="14" t="s">
        <v>60</v>
      </c>
      <c r="O58" s="14"/>
      <c r="P58" s="14"/>
      <c r="Q58" s="11"/>
    </row>
    <row r="59" customFormat="false" ht="23.25" hidden="false" customHeight="true" outlineLevel="0" collapsed="false">
      <c r="A59" s="15" t="n">
        <v>2</v>
      </c>
      <c r="B59" s="10" t="s">
        <v>274</v>
      </c>
      <c r="C59" s="11" t="s">
        <v>275</v>
      </c>
      <c r="D59" s="11" t="s">
        <v>276</v>
      </c>
      <c r="E59" s="11" t="s">
        <v>152</v>
      </c>
      <c r="F59" s="11" t="s">
        <v>277</v>
      </c>
      <c r="G59" s="11" t="s">
        <v>53</v>
      </c>
      <c r="H59" s="11" t="s">
        <v>86</v>
      </c>
      <c r="I59" s="11" t="s">
        <v>278</v>
      </c>
      <c r="J59" s="11" t="s">
        <v>67</v>
      </c>
      <c r="K59" s="13" t="s">
        <v>57</v>
      </c>
      <c r="L59" s="11" t="s">
        <v>227</v>
      </c>
      <c r="M59" s="11" t="s">
        <v>279</v>
      </c>
      <c r="N59" s="14" t="s">
        <v>60</v>
      </c>
      <c r="O59" s="14"/>
      <c r="P59" s="14"/>
      <c r="Q59" s="11" t="s">
        <v>280</v>
      </c>
    </row>
    <row r="60" customFormat="false" ht="23.25" hidden="false" customHeight="true" outlineLevel="0" collapsed="false">
      <c r="A60" s="15" t="n">
        <v>2</v>
      </c>
      <c r="B60" s="10" t="s">
        <v>274</v>
      </c>
      <c r="C60" s="11" t="s">
        <v>281</v>
      </c>
      <c r="D60" s="11" t="s">
        <v>257</v>
      </c>
      <c r="E60" s="11" t="s">
        <v>152</v>
      </c>
      <c r="F60" s="11" t="s">
        <v>277</v>
      </c>
      <c r="G60" s="11" t="s">
        <v>53</v>
      </c>
      <c r="H60" s="11" t="s">
        <v>86</v>
      </c>
      <c r="I60" s="11" t="s">
        <v>87</v>
      </c>
      <c r="J60" s="11" t="s">
        <v>56</v>
      </c>
      <c r="K60" s="13" t="s">
        <v>57</v>
      </c>
      <c r="L60" s="11" t="s">
        <v>227</v>
      </c>
      <c r="M60" s="11" t="s">
        <v>282</v>
      </c>
      <c r="N60" s="14" t="s">
        <v>60</v>
      </c>
      <c r="O60" s="14"/>
      <c r="P60" s="14"/>
      <c r="Q60" s="11"/>
    </row>
    <row r="61" customFormat="false" ht="23.25" hidden="false" customHeight="true" outlineLevel="0" collapsed="false">
      <c r="A61" s="15" t="n">
        <v>2</v>
      </c>
      <c r="B61" s="10" t="s">
        <v>283</v>
      </c>
      <c r="C61" s="11" t="s">
        <v>284</v>
      </c>
      <c r="D61" s="11" t="s">
        <v>50</v>
      </c>
      <c r="E61" s="11" t="s">
        <v>171</v>
      </c>
      <c r="F61" s="11" t="s">
        <v>285</v>
      </c>
      <c r="G61" s="11" t="s">
        <v>85</v>
      </c>
      <c r="H61" s="11" t="s">
        <v>86</v>
      </c>
      <c r="I61" s="11" t="s">
        <v>87</v>
      </c>
      <c r="J61" s="11" t="s">
        <v>56</v>
      </c>
      <c r="K61" s="13" t="s">
        <v>57</v>
      </c>
      <c r="L61" s="11" t="s">
        <v>286</v>
      </c>
      <c r="M61" s="11"/>
      <c r="N61" s="14" t="s">
        <v>60</v>
      </c>
      <c r="O61" s="14"/>
      <c r="P61" s="14"/>
      <c r="Q61" s="11" t="s">
        <v>287</v>
      </c>
    </row>
    <row r="62" customFormat="false" ht="23.25" hidden="false" customHeight="true" outlineLevel="0" collapsed="false">
      <c r="A62" s="15" t="n">
        <v>2</v>
      </c>
      <c r="B62" s="10" t="s">
        <v>283</v>
      </c>
      <c r="C62" s="11" t="s">
        <v>288</v>
      </c>
      <c r="D62" s="11" t="s">
        <v>50</v>
      </c>
      <c r="E62" s="11" t="s">
        <v>171</v>
      </c>
      <c r="F62" s="11" t="s">
        <v>285</v>
      </c>
      <c r="G62" s="11" t="s">
        <v>85</v>
      </c>
      <c r="H62" s="11" t="s">
        <v>86</v>
      </c>
      <c r="I62" s="11" t="s">
        <v>87</v>
      </c>
      <c r="J62" s="11" t="s">
        <v>56</v>
      </c>
      <c r="K62" s="13" t="s">
        <v>57</v>
      </c>
      <c r="L62" s="11" t="s">
        <v>286</v>
      </c>
      <c r="M62" s="11"/>
      <c r="N62" s="14" t="s">
        <v>60</v>
      </c>
      <c r="O62" s="14"/>
      <c r="P62" s="14"/>
      <c r="Q62" s="11"/>
    </row>
    <row r="63" customFormat="false" ht="23.25" hidden="false" customHeight="true" outlineLevel="0" collapsed="false">
      <c r="A63" s="15" t="n">
        <v>2</v>
      </c>
      <c r="B63" s="10" t="s">
        <v>283</v>
      </c>
      <c r="C63" s="11" t="s">
        <v>289</v>
      </c>
      <c r="D63" s="11" t="s">
        <v>50</v>
      </c>
      <c r="E63" s="11" t="s">
        <v>171</v>
      </c>
      <c r="F63" s="11" t="s">
        <v>285</v>
      </c>
      <c r="G63" s="11" t="s">
        <v>85</v>
      </c>
      <c r="H63" s="11" t="s">
        <v>86</v>
      </c>
      <c r="I63" s="11" t="s">
        <v>87</v>
      </c>
      <c r="J63" s="11" t="s">
        <v>106</v>
      </c>
      <c r="K63" s="13" t="s">
        <v>57</v>
      </c>
      <c r="L63" s="11" t="s">
        <v>286</v>
      </c>
      <c r="M63" s="11"/>
      <c r="N63" s="14" t="s">
        <v>60</v>
      </c>
      <c r="O63" s="14"/>
      <c r="P63" s="14"/>
      <c r="Q63" s="11"/>
    </row>
    <row r="64" customFormat="false" ht="23.25" hidden="false" customHeight="true" outlineLevel="0" collapsed="false">
      <c r="A64" s="15" t="n">
        <v>2</v>
      </c>
      <c r="B64" s="10" t="s">
        <v>290</v>
      </c>
      <c r="C64" s="11" t="s">
        <v>291</v>
      </c>
      <c r="D64" s="11" t="s">
        <v>50</v>
      </c>
      <c r="E64" s="11" t="s">
        <v>192</v>
      </c>
      <c r="F64" s="11" t="s">
        <v>292</v>
      </c>
      <c r="G64" s="11" t="s">
        <v>85</v>
      </c>
      <c r="H64" s="11" t="s">
        <v>86</v>
      </c>
      <c r="I64" s="11" t="s">
        <v>87</v>
      </c>
      <c r="J64" s="11" t="s">
        <v>56</v>
      </c>
      <c r="K64" s="13" t="s">
        <v>57</v>
      </c>
      <c r="L64" s="11" t="s">
        <v>293</v>
      </c>
      <c r="M64" s="11"/>
      <c r="N64" s="14" t="s">
        <v>60</v>
      </c>
      <c r="O64" s="14"/>
      <c r="P64" s="14"/>
      <c r="Q64" s="11"/>
    </row>
    <row r="65" customFormat="false" ht="23.25" hidden="false" customHeight="true" outlineLevel="0" collapsed="false">
      <c r="A65" s="15" t="n">
        <v>2</v>
      </c>
      <c r="B65" s="10" t="s">
        <v>290</v>
      </c>
      <c r="C65" s="11" t="s">
        <v>294</v>
      </c>
      <c r="D65" s="11" t="s">
        <v>50</v>
      </c>
      <c r="E65" s="11" t="s">
        <v>192</v>
      </c>
      <c r="F65" s="11" t="s">
        <v>292</v>
      </c>
      <c r="G65" s="11" t="s">
        <v>85</v>
      </c>
      <c r="H65" s="11" t="s">
        <v>86</v>
      </c>
      <c r="I65" s="11" t="s">
        <v>87</v>
      </c>
      <c r="J65" s="11" t="s">
        <v>56</v>
      </c>
      <c r="K65" s="13" t="s">
        <v>57</v>
      </c>
      <c r="L65" s="11" t="s">
        <v>293</v>
      </c>
      <c r="M65" s="11"/>
      <c r="N65" s="14" t="s">
        <v>60</v>
      </c>
      <c r="O65" s="14"/>
      <c r="P65" s="14"/>
      <c r="Q65" s="11"/>
    </row>
    <row r="66" customFormat="false" ht="23.25" hidden="false" customHeight="true" outlineLevel="0" collapsed="false">
      <c r="A66" s="15" t="n">
        <v>2</v>
      </c>
      <c r="B66" s="10" t="s">
        <v>290</v>
      </c>
      <c r="C66" s="11" t="s">
        <v>295</v>
      </c>
      <c r="D66" s="11" t="s">
        <v>50</v>
      </c>
      <c r="E66" s="11" t="s">
        <v>192</v>
      </c>
      <c r="F66" s="11" t="s">
        <v>292</v>
      </c>
      <c r="G66" s="11" t="s">
        <v>85</v>
      </c>
      <c r="H66" s="11" t="s">
        <v>86</v>
      </c>
      <c r="I66" s="11" t="s">
        <v>87</v>
      </c>
      <c r="J66" s="11" t="s">
        <v>67</v>
      </c>
      <c r="K66" s="13" t="s">
        <v>57</v>
      </c>
      <c r="L66" s="11" t="s">
        <v>293</v>
      </c>
      <c r="M66" s="11"/>
      <c r="N66" s="14" t="s">
        <v>60</v>
      </c>
      <c r="O66" s="14"/>
      <c r="P66" s="14"/>
      <c r="Q66" s="11"/>
    </row>
    <row r="67" customFormat="false" ht="23.25" hidden="false" customHeight="true" outlineLevel="0" collapsed="false">
      <c r="A67" s="15" t="n">
        <v>2</v>
      </c>
      <c r="B67" s="10" t="s">
        <v>290</v>
      </c>
      <c r="C67" s="11" t="s">
        <v>296</v>
      </c>
      <c r="D67" s="11" t="s">
        <v>50</v>
      </c>
      <c r="E67" s="11" t="s">
        <v>192</v>
      </c>
      <c r="F67" s="11" t="s">
        <v>292</v>
      </c>
      <c r="G67" s="11" t="s">
        <v>85</v>
      </c>
      <c r="H67" s="11" t="s">
        <v>86</v>
      </c>
      <c r="I67" s="11" t="s">
        <v>78</v>
      </c>
      <c r="J67" s="11" t="s">
        <v>56</v>
      </c>
      <c r="K67" s="13" t="s">
        <v>57</v>
      </c>
      <c r="L67" s="11" t="s">
        <v>293</v>
      </c>
      <c r="M67" s="11"/>
      <c r="N67" s="14" t="s">
        <v>60</v>
      </c>
      <c r="O67" s="14"/>
      <c r="P67" s="14"/>
      <c r="Q67" s="11"/>
    </row>
    <row r="68" customFormat="false" ht="23.25" hidden="false" customHeight="true" outlineLevel="0" collapsed="false">
      <c r="A68" s="15" t="n">
        <v>2</v>
      </c>
      <c r="B68" s="10" t="s">
        <v>290</v>
      </c>
      <c r="C68" s="11" t="s">
        <v>131</v>
      </c>
      <c r="D68" s="11" t="s">
        <v>50</v>
      </c>
      <c r="E68" s="11" t="s">
        <v>192</v>
      </c>
      <c r="F68" s="11" t="s">
        <v>292</v>
      </c>
      <c r="G68" s="11" t="s">
        <v>85</v>
      </c>
      <c r="H68" s="11" t="s">
        <v>86</v>
      </c>
      <c r="I68" s="11" t="s">
        <v>78</v>
      </c>
      <c r="J68" s="11" t="s">
        <v>67</v>
      </c>
      <c r="K68" s="13" t="s">
        <v>57</v>
      </c>
      <c r="L68" s="11" t="s">
        <v>293</v>
      </c>
      <c r="M68" s="11"/>
      <c r="N68" s="14" t="s">
        <v>60</v>
      </c>
      <c r="O68" s="14"/>
      <c r="P68" s="14"/>
      <c r="Q68" s="11"/>
    </row>
    <row r="69" customFormat="false" ht="23.25" hidden="false" customHeight="true" outlineLevel="0" collapsed="false">
      <c r="A69" s="15" t="n">
        <v>2</v>
      </c>
      <c r="B69" s="10" t="s">
        <v>290</v>
      </c>
      <c r="C69" s="11" t="s">
        <v>297</v>
      </c>
      <c r="D69" s="11" t="s">
        <v>50</v>
      </c>
      <c r="E69" s="11" t="s">
        <v>192</v>
      </c>
      <c r="F69" s="11" t="s">
        <v>292</v>
      </c>
      <c r="G69" s="11" t="s">
        <v>298</v>
      </c>
      <c r="H69" s="11" t="s">
        <v>86</v>
      </c>
      <c r="I69" s="11" t="s">
        <v>87</v>
      </c>
      <c r="J69" s="11" t="s">
        <v>56</v>
      </c>
      <c r="K69" s="13" t="s">
        <v>57</v>
      </c>
      <c r="L69" s="11" t="s">
        <v>293</v>
      </c>
      <c r="M69" s="11"/>
      <c r="N69" s="14" t="s">
        <v>60</v>
      </c>
      <c r="O69" s="14"/>
      <c r="P69" s="14"/>
      <c r="Q69" s="11"/>
    </row>
    <row r="70" customFormat="false" ht="23.25" hidden="false" customHeight="true" outlineLevel="0" collapsed="false">
      <c r="A70" s="15" t="n">
        <v>2</v>
      </c>
      <c r="B70" s="10" t="s">
        <v>290</v>
      </c>
      <c r="C70" s="11" t="s">
        <v>299</v>
      </c>
      <c r="D70" s="11" t="s">
        <v>50</v>
      </c>
      <c r="E70" s="11" t="s">
        <v>192</v>
      </c>
      <c r="F70" s="11" t="s">
        <v>292</v>
      </c>
      <c r="G70" s="11" t="s">
        <v>85</v>
      </c>
      <c r="H70" s="11" t="s">
        <v>300</v>
      </c>
      <c r="I70" s="11" t="s">
        <v>87</v>
      </c>
      <c r="J70" s="11" t="s">
        <v>56</v>
      </c>
      <c r="K70" s="13" t="s">
        <v>57</v>
      </c>
      <c r="L70" s="11" t="s">
        <v>293</v>
      </c>
      <c r="M70" s="11"/>
      <c r="N70" s="14" t="s">
        <v>60</v>
      </c>
      <c r="O70" s="14"/>
      <c r="P70" s="14"/>
      <c r="Q70" s="11"/>
    </row>
    <row r="71" customFormat="false" ht="23.25" hidden="false" customHeight="true" outlineLevel="0" collapsed="false">
      <c r="A71" s="15" t="n">
        <v>2</v>
      </c>
      <c r="B71" s="10" t="s">
        <v>290</v>
      </c>
      <c r="C71" s="11" t="s">
        <v>301</v>
      </c>
      <c r="D71" s="11" t="s">
        <v>50</v>
      </c>
      <c r="E71" s="11" t="s">
        <v>192</v>
      </c>
      <c r="F71" s="11" t="s">
        <v>292</v>
      </c>
      <c r="G71" s="11" t="s">
        <v>298</v>
      </c>
      <c r="H71" s="11" t="s">
        <v>302</v>
      </c>
      <c r="I71" s="11" t="s">
        <v>164</v>
      </c>
      <c r="J71" s="11" t="s">
        <v>56</v>
      </c>
      <c r="K71" s="13" t="s">
        <v>57</v>
      </c>
      <c r="L71" s="11" t="s">
        <v>293</v>
      </c>
      <c r="M71" s="11"/>
      <c r="N71" s="14" t="s">
        <v>60</v>
      </c>
      <c r="O71" s="14"/>
      <c r="P71" s="14"/>
      <c r="Q71" s="11" t="s">
        <v>303</v>
      </c>
    </row>
    <row r="72" customFormat="false" ht="23.25" hidden="false" customHeight="true" outlineLevel="0" collapsed="false">
      <c r="A72" s="15" t="n">
        <v>2</v>
      </c>
      <c r="B72" s="10" t="s">
        <v>290</v>
      </c>
      <c r="C72" s="11" t="s">
        <v>304</v>
      </c>
      <c r="D72" s="11" t="s">
        <v>50</v>
      </c>
      <c r="E72" s="11" t="s">
        <v>192</v>
      </c>
      <c r="F72" s="11" t="s">
        <v>292</v>
      </c>
      <c r="G72" s="11" t="s">
        <v>305</v>
      </c>
      <c r="H72" s="11" t="s">
        <v>306</v>
      </c>
      <c r="I72" s="11" t="s">
        <v>164</v>
      </c>
      <c r="J72" s="11" t="s">
        <v>56</v>
      </c>
      <c r="K72" s="13" t="s">
        <v>57</v>
      </c>
      <c r="L72" s="11" t="s">
        <v>293</v>
      </c>
      <c r="M72" s="11"/>
      <c r="N72" s="14" t="s">
        <v>60</v>
      </c>
      <c r="O72" s="14"/>
      <c r="P72" s="14"/>
      <c r="Q72" s="11" t="s">
        <v>307</v>
      </c>
    </row>
    <row r="73" customFormat="false" ht="23.25" hidden="false" customHeight="true" outlineLevel="0" collapsed="false">
      <c r="A73" s="15" t="n">
        <v>2</v>
      </c>
      <c r="B73" s="10" t="s">
        <v>308</v>
      </c>
      <c r="C73" s="11" t="s">
        <v>309</v>
      </c>
      <c r="D73" s="11" t="s">
        <v>310</v>
      </c>
      <c r="E73" s="11" t="s">
        <v>202</v>
      </c>
      <c r="F73" s="11" t="s">
        <v>311</v>
      </c>
      <c r="G73" s="17" t="s">
        <v>312</v>
      </c>
      <c r="H73" s="11" t="s">
        <v>86</v>
      </c>
      <c r="I73" s="11" t="s">
        <v>87</v>
      </c>
      <c r="J73" s="11" t="s">
        <v>56</v>
      </c>
      <c r="K73" s="13" t="s">
        <v>57</v>
      </c>
      <c r="L73" s="11" t="s">
        <v>206</v>
      </c>
      <c r="M73" s="11"/>
      <c r="N73" s="14" t="s">
        <v>60</v>
      </c>
      <c r="O73" s="14"/>
      <c r="P73" s="14"/>
      <c r="Q73" s="11"/>
    </row>
    <row r="74" customFormat="false" ht="23.25" hidden="false" customHeight="true" outlineLevel="0" collapsed="false">
      <c r="A74" s="15" t="n">
        <v>2</v>
      </c>
      <c r="B74" s="10" t="s">
        <v>308</v>
      </c>
      <c r="C74" s="11" t="s">
        <v>313</v>
      </c>
      <c r="D74" s="11" t="s">
        <v>310</v>
      </c>
      <c r="E74" s="11" t="s">
        <v>202</v>
      </c>
      <c r="F74" s="11" t="s">
        <v>311</v>
      </c>
      <c r="G74" s="17" t="s">
        <v>314</v>
      </c>
      <c r="H74" s="11" t="s">
        <v>86</v>
      </c>
      <c r="I74" s="11" t="s">
        <v>87</v>
      </c>
      <c r="J74" s="11" t="s">
        <v>56</v>
      </c>
      <c r="K74" s="13" t="s">
        <v>57</v>
      </c>
      <c r="L74" s="11" t="s">
        <v>206</v>
      </c>
      <c r="M74" s="11"/>
      <c r="N74" s="14" t="s">
        <v>60</v>
      </c>
      <c r="O74" s="14"/>
      <c r="P74" s="14"/>
      <c r="Q74" s="11" t="s">
        <v>315</v>
      </c>
    </row>
    <row r="75" customFormat="false" ht="23.25" hidden="false" customHeight="true" outlineLevel="0" collapsed="false">
      <c r="A75" s="15" t="n">
        <v>2</v>
      </c>
      <c r="B75" s="10" t="s">
        <v>316</v>
      </c>
      <c r="C75" s="11" t="s">
        <v>317</v>
      </c>
      <c r="D75" s="11" t="s">
        <v>50</v>
      </c>
      <c r="E75" s="11" t="s">
        <v>318</v>
      </c>
      <c r="F75" s="11" t="s">
        <v>311</v>
      </c>
      <c r="G75" s="11" t="s">
        <v>319</v>
      </c>
      <c r="H75" s="11" t="s">
        <v>320</v>
      </c>
      <c r="I75" s="11" t="s">
        <v>87</v>
      </c>
      <c r="J75" s="11" t="s">
        <v>67</v>
      </c>
      <c r="K75" s="13" t="s">
        <v>57</v>
      </c>
      <c r="L75" s="11" t="s">
        <v>58</v>
      </c>
      <c r="M75" s="11" t="s">
        <v>321</v>
      </c>
      <c r="N75" s="14" t="s">
        <v>60</v>
      </c>
      <c r="O75" s="14"/>
      <c r="P75" s="14"/>
      <c r="Q75" s="11"/>
    </row>
    <row r="76" customFormat="false" ht="23.25" hidden="false" customHeight="true" outlineLevel="0" collapsed="false">
      <c r="A76" s="15" t="n">
        <v>2</v>
      </c>
      <c r="B76" s="10" t="s">
        <v>316</v>
      </c>
      <c r="C76" s="11" t="s">
        <v>322</v>
      </c>
      <c r="D76" s="11" t="s">
        <v>50</v>
      </c>
      <c r="E76" s="11" t="s">
        <v>318</v>
      </c>
      <c r="F76" s="11" t="s">
        <v>311</v>
      </c>
      <c r="G76" s="11" t="s">
        <v>53</v>
      </c>
      <c r="H76" s="11" t="s">
        <v>323</v>
      </c>
      <c r="I76" s="11" t="s">
        <v>78</v>
      </c>
      <c r="J76" s="11" t="s">
        <v>56</v>
      </c>
      <c r="K76" s="13" t="s">
        <v>57</v>
      </c>
      <c r="L76" s="11" t="s">
        <v>58</v>
      </c>
      <c r="M76" s="11" t="s">
        <v>324</v>
      </c>
      <c r="N76" s="14" t="s">
        <v>60</v>
      </c>
      <c r="O76" s="14"/>
      <c r="P76" s="14"/>
      <c r="Q76" s="11"/>
    </row>
    <row r="77" customFormat="false" ht="23.25" hidden="false" customHeight="true" outlineLevel="0" collapsed="false">
      <c r="A77" s="15" t="n">
        <v>2</v>
      </c>
      <c r="B77" s="10" t="s">
        <v>316</v>
      </c>
      <c r="C77" s="11" t="s">
        <v>325</v>
      </c>
      <c r="D77" s="11" t="s">
        <v>50</v>
      </c>
      <c r="E77" s="11" t="s">
        <v>318</v>
      </c>
      <c r="F77" s="11" t="s">
        <v>311</v>
      </c>
      <c r="G77" s="11" t="s">
        <v>53</v>
      </c>
      <c r="H77" s="11" t="s">
        <v>326</v>
      </c>
      <c r="I77" s="11" t="s">
        <v>87</v>
      </c>
      <c r="J77" s="11" t="s">
        <v>111</v>
      </c>
      <c r="K77" s="13" t="s">
        <v>57</v>
      </c>
      <c r="L77" s="11" t="s">
        <v>58</v>
      </c>
      <c r="M77" s="11" t="s">
        <v>327</v>
      </c>
      <c r="N77" s="14" t="s">
        <v>60</v>
      </c>
      <c r="O77" s="14"/>
      <c r="P77" s="14"/>
      <c r="Q77" s="11"/>
    </row>
    <row r="78" customFormat="false" ht="23.25" hidden="false" customHeight="true" outlineLevel="0" collapsed="false">
      <c r="A78" s="15" t="n">
        <v>2</v>
      </c>
      <c r="B78" s="10" t="s">
        <v>316</v>
      </c>
      <c r="C78" s="11" t="s">
        <v>328</v>
      </c>
      <c r="D78" s="11" t="s">
        <v>50</v>
      </c>
      <c r="E78" s="11" t="s">
        <v>318</v>
      </c>
      <c r="F78" s="11" t="s">
        <v>311</v>
      </c>
      <c r="G78" s="11" t="s">
        <v>53</v>
      </c>
      <c r="H78" s="11" t="s">
        <v>323</v>
      </c>
      <c r="I78" s="11" t="s">
        <v>329</v>
      </c>
      <c r="J78" s="11" t="s">
        <v>67</v>
      </c>
      <c r="K78" s="13" t="s">
        <v>57</v>
      </c>
      <c r="L78" s="11" t="s">
        <v>58</v>
      </c>
      <c r="M78" s="11" t="s">
        <v>330</v>
      </c>
      <c r="N78" s="14" t="s">
        <v>60</v>
      </c>
      <c r="O78" s="14"/>
      <c r="P78" s="14"/>
      <c r="Q78" s="11"/>
    </row>
    <row r="79" customFormat="false" ht="23.25" hidden="false" customHeight="true" outlineLevel="0" collapsed="false">
      <c r="A79" s="15" t="n">
        <v>2</v>
      </c>
      <c r="B79" s="10" t="s">
        <v>331</v>
      </c>
      <c r="C79" s="11" t="s">
        <v>332</v>
      </c>
      <c r="D79" s="11" t="s">
        <v>50</v>
      </c>
      <c r="E79" s="11" t="s">
        <v>171</v>
      </c>
      <c r="F79" s="11" t="s">
        <v>333</v>
      </c>
      <c r="G79" s="11" t="s">
        <v>85</v>
      </c>
      <c r="H79" s="11" t="s">
        <v>86</v>
      </c>
      <c r="I79" s="11" t="s">
        <v>87</v>
      </c>
      <c r="J79" s="11" t="s">
        <v>180</v>
      </c>
      <c r="K79" s="13" t="s">
        <v>57</v>
      </c>
      <c r="L79" s="11" t="s">
        <v>58</v>
      </c>
      <c r="M79" s="11" t="s">
        <v>334</v>
      </c>
      <c r="N79" s="14" t="s">
        <v>60</v>
      </c>
      <c r="O79" s="14"/>
      <c r="P79" s="14"/>
      <c r="Q79" s="11" t="s">
        <v>335</v>
      </c>
    </row>
    <row r="80" customFormat="false" ht="23.25" hidden="false" customHeight="true" outlineLevel="0" collapsed="false">
      <c r="A80" s="15" t="n">
        <v>2</v>
      </c>
      <c r="B80" s="10" t="s">
        <v>331</v>
      </c>
      <c r="C80" s="11" t="s">
        <v>336</v>
      </c>
      <c r="D80" s="11" t="s">
        <v>50</v>
      </c>
      <c r="E80" s="11" t="s">
        <v>171</v>
      </c>
      <c r="F80" s="11" t="s">
        <v>333</v>
      </c>
      <c r="G80" s="11" t="s">
        <v>85</v>
      </c>
      <c r="H80" s="11" t="s">
        <v>86</v>
      </c>
      <c r="I80" s="11" t="s">
        <v>115</v>
      </c>
      <c r="J80" s="11" t="s">
        <v>56</v>
      </c>
      <c r="K80" s="13" t="s">
        <v>57</v>
      </c>
      <c r="L80" s="11" t="s">
        <v>58</v>
      </c>
      <c r="M80" s="11" t="s">
        <v>337</v>
      </c>
      <c r="N80" s="14" t="s">
        <v>60</v>
      </c>
      <c r="O80" s="14"/>
      <c r="P80" s="14"/>
      <c r="Q80" s="11"/>
    </row>
    <row r="81" customFormat="false" ht="23.25" hidden="false" customHeight="true" outlineLevel="0" collapsed="false">
      <c r="A81" s="15" t="n">
        <v>2</v>
      </c>
      <c r="B81" s="10" t="s">
        <v>338</v>
      </c>
      <c r="C81" s="11" t="s">
        <v>339</v>
      </c>
      <c r="D81" s="11" t="s">
        <v>50</v>
      </c>
      <c r="E81" s="11" t="s">
        <v>171</v>
      </c>
      <c r="F81" s="11" t="s">
        <v>340</v>
      </c>
      <c r="G81" s="11" t="s">
        <v>85</v>
      </c>
      <c r="H81" s="11" t="s">
        <v>86</v>
      </c>
      <c r="I81" s="11" t="s">
        <v>78</v>
      </c>
      <c r="J81" s="11" t="s">
        <v>56</v>
      </c>
      <c r="K81" s="13" t="s">
        <v>57</v>
      </c>
      <c r="L81" s="11" t="s">
        <v>58</v>
      </c>
      <c r="M81" s="11" t="s">
        <v>341</v>
      </c>
      <c r="N81" s="14" t="s">
        <v>60</v>
      </c>
      <c r="O81" s="14"/>
      <c r="P81" s="14"/>
      <c r="Q81" s="11"/>
    </row>
    <row r="82" customFormat="false" ht="23.25" hidden="false" customHeight="true" outlineLevel="0" collapsed="false">
      <c r="A82" s="15" t="n">
        <v>2</v>
      </c>
      <c r="B82" s="10" t="s">
        <v>338</v>
      </c>
      <c r="C82" s="11" t="s">
        <v>342</v>
      </c>
      <c r="D82" s="11" t="s">
        <v>50</v>
      </c>
      <c r="E82" s="11" t="s">
        <v>171</v>
      </c>
      <c r="F82" s="11" t="s">
        <v>340</v>
      </c>
      <c r="G82" s="11" t="s">
        <v>85</v>
      </c>
      <c r="H82" s="11" t="s">
        <v>86</v>
      </c>
      <c r="I82" s="11" t="s">
        <v>87</v>
      </c>
      <c r="J82" s="11" t="s">
        <v>56</v>
      </c>
      <c r="K82" s="13" t="s">
        <v>57</v>
      </c>
      <c r="L82" s="11" t="s">
        <v>58</v>
      </c>
      <c r="M82" s="11" t="s">
        <v>343</v>
      </c>
      <c r="N82" s="14" t="s">
        <v>60</v>
      </c>
      <c r="O82" s="14"/>
      <c r="P82" s="14"/>
      <c r="Q82" s="11"/>
    </row>
    <row r="83" customFormat="false" ht="23.25" hidden="false" customHeight="true" outlineLevel="0" collapsed="false">
      <c r="A83" s="15" t="n">
        <v>2</v>
      </c>
      <c r="B83" s="10" t="s">
        <v>344</v>
      </c>
      <c r="C83" s="11" t="s">
        <v>345</v>
      </c>
      <c r="D83" s="11" t="s">
        <v>50</v>
      </c>
      <c r="E83" s="11" t="s">
        <v>346</v>
      </c>
      <c r="F83" s="12" t="s">
        <v>347</v>
      </c>
      <c r="G83" s="11" t="s">
        <v>53</v>
      </c>
      <c r="H83" s="11" t="s">
        <v>86</v>
      </c>
      <c r="I83" s="11" t="s">
        <v>87</v>
      </c>
      <c r="J83" s="11" t="s">
        <v>56</v>
      </c>
      <c r="K83" s="13" t="s">
        <v>57</v>
      </c>
      <c r="L83" s="11" t="s">
        <v>58</v>
      </c>
      <c r="M83" s="11" t="s">
        <v>348</v>
      </c>
      <c r="N83" s="14" t="s">
        <v>60</v>
      </c>
      <c r="O83" s="14"/>
      <c r="P83" s="14"/>
      <c r="Q83" s="11"/>
    </row>
    <row r="84" customFormat="false" ht="23.25" hidden="false" customHeight="true" outlineLevel="0" collapsed="false">
      <c r="A84" s="15" t="n">
        <v>2</v>
      </c>
      <c r="B84" s="10" t="s">
        <v>344</v>
      </c>
      <c r="C84" s="11" t="s">
        <v>349</v>
      </c>
      <c r="D84" s="11" t="s">
        <v>50</v>
      </c>
      <c r="E84" s="11" t="s">
        <v>346</v>
      </c>
      <c r="F84" s="12" t="s">
        <v>347</v>
      </c>
      <c r="G84" s="11" t="s">
        <v>53</v>
      </c>
      <c r="H84" s="11" t="s">
        <v>86</v>
      </c>
      <c r="I84" s="11" t="s">
        <v>87</v>
      </c>
      <c r="J84" s="11" t="s">
        <v>67</v>
      </c>
      <c r="K84" s="13" t="s">
        <v>57</v>
      </c>
      <c r="L84" s="11" t="s">
        <v>58</v>
      </c>
      <c r="M84" s="11" t="s">
        <v>350</v>
      </c>
      <c r="N84" s="14" t="s">
        <v>60</v>
      </c>
      <c r="O84" s="14"/>
      <c r="P84" s="14"/>
      <c r="Q84" s="11" t="s">
        <v>351</v>
      </c>
    </row>
    <row r="85" customFormat="false" ht="23.25" hidden="false" customHeight="true" outlineLevel="0" collapsed="false">
      <c r="A85" s="18" t="n">
        <v>3</v>
      </c>
      <c r="B85" s="10" t="s">
        <v>352</v>
      </c>
      <c r="C85" s="11" t="s">
        <v>353</v>
      </c>
      <c r="D85" s="11" t="s">
        <v>191</v>
      </c>
      <c r="E85" s="11" t="s">
        <v>354</v>
      </c>
      <c r="F85" s="11" t="s">
        <v>355</v>
      </c>
      <c r="G85" s="11" t="s">
        <v>53</v>
      </c>
      <c r="H85" s="11" t="s">
        <v>356</v>
      </c>
      <c r="I85" s="11" t="s">
        <v>78</v>
      </c>
      <c r="J85" s="11" t="s">
        <v>56</v>
      </c>
      <c r="K85" s="13" t="s">
        <v>57</v>
      </c>
      <c r="L85" s="11" t="s">
        <v>58</v>
      </c>
      <c r="M85" s="11" t="s">
        <v>357</v>
      </c>
      <c r="N85" s="14" t="s">
        <v>60</v>
      </c>
      <c r="O85" s="14"/>
      <c r="P85" s="14"/>
      <c r="Q85" s="11" t="s">
        <v>358</v>
      </c>
    </row>
    <row r="86" customFormat="false" ht="23.25" hidden="false" customHeight="true" outlineLevel="0" collapsed="false">
      <c r="A86" s="18" t="n">
        <v>3</v>
      </c>
      <c r="B86" s="10" t="s">
        <v>352</v>
      </c>
      <c r="C86" s="11" t="s">
        <v>359</v>
      </c>
      <c r="D86" s="11" t="s">
        <v>191</v>
      </c>
      <c r="E86" s="11" t="s">
        <v>354</v>
      </c>
      <c r="F86" s="11" t="s">
        <v>355</v>
      </c>
      <c r="G86" s="11" t="s">
        <v>53</v>
      </c>
      <c r="H86" s="11" t="s">
        <v>86</v>
      </c>
      <c r="I86" s="11" t="s">
        <v>78</v>
      </c>
      <c r="J86" s="11" t="s">
        <v>56</v>
      </c>
      <c r="K86" s="13" t="s">
        <v>57</v>
      </c>
      <c r="L86" s="11" t="s">
        <v>58</v>
      </c>
      <c r="M86" s="11" t="s">
        <v>360</v>
      </c>
      <c r="N86" s="14" t="s">
        <v>60</v>
      </c>
      <c r="O86" s="14"/>
      <c r="P86" s="14"/>
      <c r="Q86" s="11"/>
    </row>
    <row r="87" customFormat="false" ht="23.25" hidden="false" customHeight="true" outlineLevel="0" collapsed="false">
      <c r="A87" s="18" t="n">
        <v>3</v>
      </c>
      <c r="B87" s="10" t="s">
        <v>361</v>
      </c>
      <c r="C87" s="11" t="s">
        <v>362</v>
      </c>
      <c r="D87" s="11" t="s">
        <v>50</v>
      </c>
      <c r="E87" s="11" t="s">
        <v>363</v>
      </c>
      <c r="F87" s="11" t="s">
        <v>364</v>
      </c>
      <c r="G87" s="11" t="s">
        <v>53</v>
      </c>
      <c r="H87" s="11" t="s">
        <v>86</v>
      </c>
      <c r="I87" s="11" t="s">
        <v>87</v>
      </c>
      <c r="J87" s="11" t="s">
        <v>56</v>
      </c>
      <c r="K87" s="13" t="s">
        <v>57</v>
      </c>
      <c r="L87" s="11" t="s">
        <v>155</v>
      </c>
      <c r="M87" s="11" t="s">
        <v>365</v>
      </c>
      <c r="N87" s="14" t="s">
        <v>60</v>
      </c>
      <c r="O87" s="14"/>
      <c r="P87" s="14"/>
      <c r="Q87" s="11"/>
    </row>
    <row r="88" customFormat="false" ht="23.25" hidden="false" customHeight="true" outlineLevel="0" collapsed="false">
      <c r="A88" s="18" t="n">
        <v>3</v>
      </c>
      <c r="B88" s="10" t="s">
        <v>361</v>
      </c>
      <c r="C88" s="11" t="s">
        <v>366</v>
      </c>
      <c r="D88" s="11" t="s">
        <v>50</v>
      </c>
      <c r="E88" s="11" t="s">
        <v>363</v>
      </c>
      <c r="F88" s="11" t="s">
        <v>364</v>
      </c>
      <c r="G88" s="11" t="s">
        <v>53</v>
      </c>
      <c r="H88" s="11" t="s">
        <v>86</v>
      </c>
      <c r="I88" s="11" t="s">
        <v>78</v>
      </c>
      <c r="J88" s="11" t="s">
        <v>56</v>
      </c>
      <c r="K88" s="13" t="s">
        <v>57</v>
      </c>
      <c r="L88" s="11" t="s">
        <v>155</v>
      </c>
      <c r="M88" s="11" t="s">
        <v>367</v>
      </c>
      <c r="N88" s="14" t="s">
        <v>60</v>
      </c>
      <c r="O88" s="14"/>
      <c r="P88" s="14"/>
      <c r="Q88" s="11"/>
    </row>
    <row r="89" customFormat="false" ht="23.25" hidden="false" customHeight="true" outlineLevel="0" collapsed="false">
      <c r="A89" s="18" t="n">
        <v>3</v>
      </c>
      <c r="B89" s="10" t="s">
        <v>368</v>
      </c>
      <c r="C89" s="11" t="s">
        <v>369</v>
      </c>
      <c r="D89" s="11" t="s">
        <v>50</v>
      </c>
      <c r="E89" s="11" t="s">
        <v>370</v>
      </c>
      <c r="F89" s="17" t="s">
        <v>371</v>
      </c>
      <c r="G89" s="11" t="s">
        <v>53</v>
      </c>
      <c r="H89" s="12" t="s">
        <v>372</v>
      </c>
      <c r="I89" s="11" t="s">
        <v>87</v>
      </c>
      <c r="J89" s="11" t="s">
        <v>173</v>
      </c>
      <c r="K89" s="13" t="s">
        <v>57</v>
      </c>
      <c r="L89" s="11" t="s">
        <v>373</v>
      </c>
      <c r="M89" s="11" t="s">
        <v>374</v>
      </c>
      <c r="N89" s="14" t="s">
        <v>60</v>
      </c>
      <c r="O89" s="14"/>
      <c r="P89" s="14"/>
      <c r="Q89" s="11"/>
    </row>
    <row r="90" customFormat="false" ht="23.25" hidden="false" customHeight="true" outlineLevel="0" collapsed="false">
      <c r="A90" s="18" t="n">
        <v>3</v>
      </c>
      <c r="B90" s="10" t="s">
        <v>368</v>
      </c>
      <c r="C90" s="11" t="s">
        <v>375</v>
      </c>
      <c r="D90" s="11" t="s">
        <v>50</v>
      </c>
      <c r="E90" s="11" t="s">
        <v>370</v>
      </c>
      <c r="F90" s="17" t="s">
        <v>371</v>
      </c>
      <c r="G90" s="11" t="s">
        <v>53</v>
      </c>
      <c r="H90" s="12" t="s">
        <v>372</v>
      </c>
      <c r="I90" s="11" t="s">
        <v>87</v>
      </c>
      <c r="J90" s="11" t="s">
        <v>173</v>
      </c>
      <c r="K90" s="13" t="s">
        <v>57</v>
      </c>
      <c r="L90" s="11" t="s">
        <v>373</v>
      </c>
      <c r="M90" s="11" t="s">
        <v>376</v>
      </c>
      <c r="N90" s="14" t="s">
        <v>60</v>
      </c>
      <c r="O90" s="14"/>
      <c r="P90" s="14"/>
      <c r="Q90" s="11"/>
    </row>
    <row r="91" customFormat="false" ht="23.25" hidden="false" customHeight="true" outlineLevel="0" collapsed="false">
      <c r="A91" s="18" t="n">
        <v>3</v>
      </c>
      <c r="B91" s="10" t="s">
        <v>368</v>
      </c>
      <c r="C91" s="11" t="s">
        <v>377</v>
      </c>
      <c r="D91" s="11" t="s">
        <v>50</v>
      </c>
      <c r="E91" s="11" t="s">
        <v>370</v>
      </c>
      <c r="F91" s="17" t="s">
        <v>371</v>
      </c>
      <c r="G91" s="11" t="s">
        <v>53</v>
      </c>
      <c r="H91" s="12" t="s">
        <v>378</v>
      </c>
      <c r="I91" s="11" t="s">
        <v>87</v>
      </c>
      <c r="J91" s="11" t="s">
        <v>56</v>
      </c>
      <c r="K91" s="13" t="s">
        <v>57</v>
      </c>
      <c r="L91" s="11" t="s">
        <v>373</v>
      </c>
      <c r="M91" s="11" t="s">
        <v>379</v>
      </c>
      <c r="N91" s="14" t="s">
        <v>60</v>
      </c>
      <c r="O91" s="14"/>
      <c r="P91" s="14"/>
      <c r="Q91" s="11" t="s">
        <v>380</v>
      </c>
    </row>
    <row r="92" customFormat="false" ht="34.5" hidden="false" customHeight="true" outlineLevel="0" collapsed="false">
      <c r="A92" s="18" t="n">
        <v>3</v>
      </c>
      <c r="B92" s="10" t="s">
        <v>368</v>
      </c>
      <c r="C92" s="11" t="s">
        <v>381</v>
      </c>
      <c r="D92" s="11" t="s">
        <v>50</v>
      </c>
      <c r="E92" s="11" t="s">
        <v>370</v>
      </c>
      <c r="F92" s="17" t="s">
        <v>371</v>
      </c>
      <c r="G92" s="11" t="s">
        <v>53</v>
      </c>
      <c r="H92" s="12" t="s">
        <v>372</v>
      </c>
      <c r="I92" s="11" t="s">
        <v>382</v>
      </c>
      <c r="J92" s="11" t="s">
        <v>56</v>
      </c>
      <c r="K92" s="13" t="s">
        <v>57</v>
      </c>
      <c r="L92" s="11" t="s">
        <v>373</v>
      </c>
      <c r="M92" s="11" t="s">
        <v>383</v>
      </c>
      <c r="N92" s="14" t="s">
        <v>60</v>
      </c>
      <c r="O92" s="14"/>
      <c r="P92" s="14"/>
      <c r="Q92" s="11"/>
    </row>
    <row r="93" customFormat="false" ht="23.25" hidden="false" customHeight="true" outlineLevel="0" collapsed="false">
      <c r="A93" s="18" t="n">
        <v>3</v>
      </c>
      <c r="B93" s="10" t="s">
        <v>384</v>
      </c>
      <c r="C93" s="11" t="s">
        <v>385</v>
      </c>
      <c r="D93" s="11" t="s">
        <v>386</v>
      </c>
      <c r="E93" s="11" t="s">
        <v>387</v>
      </c>
      <c r="F93" s="11" t="s">
        <v>388</v>
      </c>
      <c r="G93" s="11" t="s">
        <v>53</v>
      </c>
      <c r="H93" s="11" t="s">
        <v>86</v>
      </c>
      <c r="I93" s="11" t="s">
        <v>78</v>
      </c>
      <c r="J93" s="11" t="s">
        <v>56</v>
      </c>
      <c r="K93" s="13" t="s">
        <v>57</v>
      </c>
      <c r="L93" s="11" t="s">
        <v>58</v>
      </c>
      <c r="M93" s="11" t="s">
        <v>389</v>
      </c>
      <c r="N93" s="14" t="s">
        <v>60</v>
      </c>
      <c r="O93" s="14"/>
      <c r="P93" s="14"/>
      <c r="Q93" s="11"/>
    </row>
    <row r="94" customFormat="false" ht="23.25" hidden="false" customHeight="true" outlineLevel="0" collapsed="false">
      <c r="A94" s="18" t="n">
        <v>3</v>
      </c>
      <c r="B94" s="10" t="s">
        <v>390</v>
      </c>
      <c r="C94" s="11" t="s">
        <v>391</v>
      </c>
      <c r="D94" s="11" t="s">
        <v>50</v>
      </c>
      <c r="E94" s="11" t="s">
        <v>370</v>
      </c>
      <c r="F94" s="17" t="s">
        <v>392</v>
      </c>
      <c r="G94" s="11" t="s">
        <v>53</v>
      </c>
      <c r="H94" s="11" t="s">
        <v>86</v>
      </c>
      <c r="I94" s="11" t="s">
        <v>78</v>
      </c>
      <c r="J94" s="11" t="s">
        <v>56</v>
      </c>
      <c r="K94" s="13" t="s">
        <v>57</v>
      </c>
      <c r="L94" s="11" t="s">
        <v>373</v>
      </c>
      <c r="M94" s="11" t="s">
        <v>393</v>
      </c>
      <c r="N94" s="14" t="s">
        <v>60</v>
      </c>
      <c r="O94" s="14"/>
      <c r="P94" s="14"/>
      <c r="Q94" s="11" t="s">
        <v>394</v>
      </c>
    </row>
    <row r="95" customFormat="false" ht="23.25" hidden="false" customHeight="true" outlineLevel="0" collapsed="false">
      <c r="A95" s="18" t="n">
        <v>3</v>
      </c>
      <c r="B95" s="10" t="s">
        <v>390</v>
      </c>
      <c r="C95" s="11" t="s">
        <v>395</v>
      </c>
      <c r="D95" s="11" t="s">
        <v>50</v>
      </c>
      <c r="E95" s="11" t="s">
        <v>370</v>
      </c>
      <c r="F95" s="17" t="s">
        <v>392</v>
      </c>
      <c r="G95" s="11" t="s">
        <v>53</v>
      </c>
      <c r="H95" s="11" t="s">
        <v>396</v>
      </c>
      <c r="I95" s="11" t="s">
        <v>115</v>
      </c>
      <c r="J95" s="11" t="s">
        <v>56</v>
      </c>
      <c r="K95" s="13" t="s">
        <v>57</v>
      </c>
      <c r="L95" s="11" t="s">
        <v>373</v>
      </c>
      <c r="M95" s="11" t="s">
        <v>397</v>
      </c>
      <c r="N95" s="14" t="s">
        <v>60</v>
      </c>
      <c r="O95" s="14"/>
      <c r="P95" s="14"/>
      <c r="Q95" s="11"/>
    </row>
    <row r="96" customFormat="false" ht="23.25" hidden="false" customHeight="true" outlineLevel="0" collapsed="false">
      <c r="A96" s="18" t="n">
        <v>3</v>
      </c>
      <c r="B96" s="10" t="s">
        <v>398</v>
      </c>
      <c r="C96" s="11" t="s">
        <v>399</v>
      </c>
      <c r="D96" s="11" t="s">
        <v>50</v>
      </c>
      <c r="E96" s="11" t="s">
        <v>400</v>
      </c>
      <c r="F96" s="17" t="s">
        <v>401</v>
      </c>
      <c r="G96" s="11" t="s">
        <v>85</v>
      </c>
      <c r="H96" s="11" t="s">
        <v>86</v>
      </c>
      <c r="I96" s="11" t="s">
        <v>87</v>
      </c>
      <c r="J96" s="11" t="s">
        <v>56</v>
      </c>
      <c r="K96" s="13" t="s">
        <v>57</v>
      </c>
      <c r="L96" s="11" t="s">
        <v>402</v>
      </c>
      <c r="M96" s="11" t="s">
        <v>403</v>
      </c>
      <c r="N96" s="14" t="s">
        <v>60</v>
      </c>
      <c r="O96" s="14"/>
      <c r="P96" s="14"/>
      <c r="Q96" s="11"/>
    </row>
    <row r="97" customFormat="false" ht="23.25" hidden="false" customHeight="true" outlineLevel="0" collapsed="false">
      <c r="A97" s="18" t="n">
        <v>3</v>
      </c>
      <c r="B97" s="10" t="s">
        <v>398</v>
      </c>
      <c r="C97" s="11" t="s">
        <v>404</v>
      </c>
      <c r="D97" s="11" t="s">
        <v>50</v>
      </c>
      <c r="E97" s="11" t="s">
        <v>400</v>
      </c>
      <c r="F97" s="17" t="s">
        <v>401</v>
      </c>
      <c r="G97" s="11" t="s">
        <v>85</v>
      </c>
      <c r="H97" s="11" t="s">
        <v>405</v>
      </c>
      <c r="I97" s="11" t="s">
        <v>164</v>
      </c>
      <c r="J97" s="11" t="s">
        <v>67</v>
      </c>
      <c r="K97" s="13" t="s">
        <v>57</v>
      </c>
      <c r="L97" s="11" t="s">
        <v>402</v>
      </c>
      <c r="M97" s="11" t="s">
        <v>406</v>
      </c>
      <c r="N97" s="14" t="s">
        <v>60</v>
      </c>
      <c r="O97" s="14"/>
      <c r="P97" s="14"/>
      <c r="Q97" s="11" t="s">
        <v>407</v>
      </c>
    </row>
    <row r="98" customFormat="false" ht="23.25" hidden="false" customHeight="true" outlineLevel="0" collapsed="false">
      <c r="A98" s="18" t="n">
        <v>3</v>
      </c>
      <c r="B98" s="10" t="s">
        <v>398</v>
      </c>
      <c r="C98" s="11" t="s">
        <v>408</v>
      </c>
      <c r="D98" s="11" t="s">
        <v>50</v>
      </c>
      <c r="E98" s="11" t="s">
        <v>400</v>
      </c>
      <c r="F98" s="17" t="s">
        <v>401</v>
      </c>
      <c r="G98" s="11" t="s">
        <v>85</v>
      </c>
      <c r="H98" s="11" t="s">
        <v>86</v>
      </c>
      <c r="I98" s="11" t="s">
        <v>87</v>
      </c>
      <c r="J98" s="11" t="s">
        <v>56</v>
      </c>
      <c r="K98" s="13" t="s">
        <v>57</v>
      </c>
      <c r="L98" s="11" t="s">
        <v>402</v>
      </c>
      <c r="M98" s="11" t="s">
        <v>409</v>
      </c>
      <c r="N98" s="14" t="s">
        <v>60</v>
      </c>
      <c r="O98" s="14"/>
      <c r="P98" s="14"/>
      <c r="Q98" s="11" t="s">
        <v>410</v>
      </c>
    </row>
    <row r="99" customFormat="false" ht="23.25" hidden="false" customHeight="true" outlineLevel="0" collapsed="false">
      <c r="A99" s="18" t="n">
        <v>3</v>
      </c>
      <c r="B99" s="10" t="s">
        <v>398</v>
      </c>
      <c r="C99" s="11" t="s">
        <v>411</v>
      </c>
      <c r="D99" s="11" t="s">
        <v>50</v>
      </c>
      <c r="E99" s="11" t="s">
        <v>400</v>
      </c>
      <c r="F99" s="17" t="s">
        <v>401</v>
      </c>
      <c r="G99" s="11" t="s">
        <v>85</v>
      </c>
      <c r="H99" s="11" t="s">
        <v>405</v>
      </c>
      <c r="I99" s="11" t="s">
        <v>164</v>
      </c>
      <c r="J99" s="11" t="s">
        <v>56</v>
      </c>
      <c r="K99" s="13" t="s">
        <v>57</v>
      </c>
      <c r="L99" s="11" t="s">
        <v>402</v>
      </c>
      <c r="M99" s="11" t="s">
        <v>412</v>
      </c>
      <c r="N99" s="14" t="s">
        <v>60</v>
      </c>
      <c r="O99" s="14"/>
      <c r="P99" s="14"/>
      <c r="Q99" s="11" t="s">
        <v>413</v>
      </c>
    </row>
    <row r="100" customFormat="false" ht="23.25" hidden="false" customHeight="true" outlineLevel="0" collapsed="false">
      <c r="A100" s="18" t="n">
        <v>3</v>
      </c>
      <c r="B100" s="10" t="s">
        <v>398</v>
      </c>
      <c r="C100" s="11" t="s">
        <v>414</v>
      </c>
      <c r="D100" s="11" t="s">
        <v>50</v>
      </c>
      <c r="E100" s="11" t="s">
        <v>400</v>
      </c>
      <c r="F100" s="17" t="s">
        <v>401</v>
      </c>
      <c r="G100" s="11" t="s">
        <v>85</v>
      </c>
      <c r="H100" s="11" t="s">
        <v>86</v>
      </c>
      <c r="I100" s="11" t="s">
        <v>115</v>
      </c>
      <c r="J100" s="11" t="s">
        <v>56</v>
      </c>
      <c r="K100" s="13" t="s">
        <v>57</v>
      </c>
      <c r="L100" s="11" t="s">
        <v>415</v>
      </c>
      <c r="M100" s="11" t="s">
        <v>416</v>
      </c>
      <c r="N100" s="14" t="s">
        <v>60</v>
      </c>
      <c r="O100" s="14"/>
      <c r="P100" s="14"/>
      <c r="Q100" s="11" t="s">
        <v>92</v>
      </c>
    </row>
    <row r="101" customFormat="false" ht="23.25" hidden="false" customHeight="true" outlineLevel="0" collapsed="false">
      <c r="A101" s="18" t="n">
        <v>3</v>
      </c>
      <c r="B101" s="10" t="s">
        <v>417</v>
      </c>
      <c r="C101" s="11" t="s">
        <v>418</v>
      </c>
      <c r="D101" s="11" t="s">
        <v>419</v>
      </c>
      <c r="E101" s="11" t="s">
        <v>354</v>
      </c>
      <c r="F101" s="17" t="s">
        <v>420</v>
      </c>
      <c r="G101" s="11" t="s">
        <v>53</v>
      </c>
      <c r="H101" s="11" t="s">
        <v>421</v>
      </c>
      <c r="I101" s="11" t="s">
        <v>87</v>
      </c>
      <c r="J101" s="11" t="s">
        <v>56</v>
      </c>
      <c r="K101" s="13" t="s">
        <v>57</v>
      </c>
      <c r="L101" s="11" t="s">
        <v>58</v>
      </c>
      <c r="M101" s="11" t="s">
        <v>422</v>
      </c>
      <c r="N101" s="14" t="s">
        <v>60</v>
      </c>
      <c r="O101" s="14"/>
      <c r="P101" s="14"/>
      <c r="Q101" s="11"/>
    </row>
    <row r="102" customFormat="false" ht="23.25" hidden="false" customHeight="true" outlineLevel="0" collapsed="false">
      <c r="A102" s="18" t="n">
        <v>3</v>
      </c>
      <c r="B102" s="10" t="s">
        <v>417</v>
      </c>
      <c r="C102" s="11" t="s">
        <v>423</v>
      </c>
      <c r="D102" s="11" t="s">
        <v>424</v>
      </c>
      <c r="E102" s="11" t="s">
        <v>354</v>
      </c>
      <c r="F102" s="17" t="s">
        <v>420</v>
      </c>
      <c r="G102" s="11" t="s">
        <v>53</v>
      </c>
      <c r="H102" s="11" t="s">
        <v>396</v>
      </c>
      <c r="I102" s="11" t="s">
        <v>78</v>
      </c>
      <c r="J102" s="11" t="s">
        <v>56</v>
      </c>
      <c r="K102" s="13" t="s">
        <v>57</v>
      </c>
      <c r="L102" s="11" t="s">
        <v>58</v>
      </c>
      <c r="M102" s="11" t="s">
        <v>425</v>
      </c>
      <c r="N102" s="14" t="s">
        <v>60</v>
      </c>
      <c r="O102" s="14"/>
      <c r="P102" s="14"/>
      <c r="Q102" s="11"/>
    </row>
    <row r="103" customFormat="false" ht="23.25" hidden="false" customHeight="true" outlineLevel="0" collapsed="false">
      <c r="A103" s="18" t="n">
        <v>3</v>
      </c>
      <c r="B103" s="10" t="s">
        <v>426</v>
      </c>
      <c r="C103" s="11" t="s">
        <v>427</v>
      </c>
      <c r="D103" s="11" t="s">
        <v>50</v>
      </c>
      <c r="E103" s="11" t="s">
        <v>370</v>
      </c>
      <c r="F103" s="11" t="s">
        <v>428</v>
      </c>
      <c r="G103" s="11" t="s">
        <v>53</v>
      </c>
      <c r="H103" s="11" t="s">
        <v>86</v>
      </c>
      <c r="I103" s="11" t="s">
        <v>115</v>
      </c>
      <c r="J103" s="11" t="s">
        <v>56</v>
      </c>
      <c r="K103" s="13" t="s">
        <v>57</v>
      </c>
      <c r="L103" s="11" t="s">
        <v>429</v>
      </c>
      <c r="M103" s="11" t="s">
        <v>430</v>
      </c>
      <c r="N103" s="14" t="s">
        <v>60</v>
      </c>
      <c r="O103" s="14"/>
      <c r="P103" s="14"/>
      <c r="Q103" s="11"/>
    </row>
    <row r="104" customFormat="false" ht="23.25" hidden="false" customHeight="true" outlineLevel="0" collapsed="false">
      <c r="A104" s="18" t="n">
        <v>3</v>
      </c>
      <c r="B104" s="10" t="s">
        <v>426</v>
      </c>
      <c r="C104" s="11" t="s">
        <v>431</v>
      </c>
      <c r="D104" s="11" t="s">
        <v>50</v>
      </c>
      <c r="E104" s="11" t="s">
        <v>370</v>
      </c>
      <c r="F104" s="11" t="s">
        <v>428</v>
      </c>
      <c r="G104" s="11" t="s">
        <v>53</v>
      </c>
      <c r="H104" s="11" t="s">
        <v>86</v>
      </c>
      <c r="I104" s="11" t="s">
        <v>87</v>
      </c>
      <c r="J104" s="11" t="s">
        <v>56</v>
      </c>
      <c r="K104" s="13" t="s">
        <v>57</v>
      </c>
      <c r="L104" s="11" t="s">
        <v>429</v>
      </c>
      <c r="M104" s="11" t="s">
        <v>432</v>
      </c>
      <c r="N104" s="14" t="s">
        <v>60</v>
      </c>
      <c r="O104" s="14"/>
      <c r="P104" s="14"/>
      <c r="Q104" s="11" t="s">
        <v>433</v>
      </c>
    </row>
    <row r="105" customFormat="false" ht="23.25" hidden="false" customHeight="true" outlineLevel="0" collapsed="false">
      <c r="A105" s="18" t="n">
        <v>3</v>
      </c>
      <c r="B105" s="10" t="s">
        <v>434</v>
      </c>
      <c r="C105" s="11" t="s">
        <v>435</v>
      </c>
      <c r="D105" s="11" t="s">
        <v>436</v>
      </c>
      <c r="E105" s="11" t="s">
        <v>400</v>
      </c>
      <c r="F105" s="11" t="s">
        <v>437</v>
      </c>
      <c r="G105" s="11" t="s">
        <v>53</v>
      </c>
      <c r="H105" s="11" t="s">
        <v>438</v>
      </c>
      <c r="I105" s="11" t="s">
        <v>164</v>
      </c>
      <c r="J105" s="11" t="s">
        <v>56</v>
      </c>
      <c r="K105" s="13" t="s">
        <v>57</v>
      </c>
      <c r="L105" s="11" t="s">
        <v>58</v>
      </c>
      <c r="M105" s="11" t="s">
        <v>439</v>
      </c>
      <c r="N105" s="14" t="s">
        <v>60</v>
      </c>
      <c r="O105" s="14"/>
      <c r="P105" s="14"/>
      <c r="Q105" s="11" t="s">
        <v>440</v>
      </c>
    </row>
    <row r="106" customFormat="false" ht="23.25" hidden="false" customHeight="true" outlineLevel="0" collapsed="false">
      <c r="A106" s="18" t="n">
        <v>3</v>
      </c>
      <c r="B106" s="10" t="s">
        <v>441</v>
      </c>
      <c r="C106" s="11" t="s">
        <v>442</v>
      </c>
      <c r="D106" s="11" t="s">
        <v>50</v>
      </c>
      <c r="E106" s="11" t="s">
        <v>370</v>
      </c>
      <c r="F106" s="11" t="s">
        <v>443</v>
      </c>
      <c r="G106" s="11" t="s">
        <v>53</v>
      </c>
      <c r="H106" s="11" t="s">
        <v>86</v>
      </c>
      <c r="I106" s="11" t="s">
        <v>78</v>
      </c>
      <c r="J106" s="11" t="s">
        <v>56</v>
      </c>
      <c r="K106" s="13" t="s">
        <v>57</v>
      </c>
      <c r="L106" s="11" t="s">
        <v>227</v>
      </c>
      <c r="M106" s="11" t="s">
        <v>444</v>
      </c>
      <c r="N106" s="14" t="s">
        <v>60</v>
      </c>
      <c r="O106" s="14"/>
      <c r="P106" s="14"/>
      <c r="Q106" s="11" t="s">
        <v>445</v>
      </c>
    </row>
    <row r="107" customFormat="false" ht="34.5" hidden="false" customHeight="true" outlineLevel="0" collapsed="false">
      <c r="A107" s="18" t="n">
        <v>3</v>
      </c>
      <c r="B107" s="10" t="s">
        <v>446</v>
      </c>
      <c r="C107" s="11" t="s">
        <v>447</v>
      </c>
      <c r="D107" s="11" t="s">
        <v>448</v>
      </c>
      <c r="E107" s="11" t="s">
        <v>354</v>
      </c>
      <c r="F107" s="17" t="s">
        <v>449</v>
      </c>
      <c r="G107" s="11" t="s">
        <v>53</v>
      </c>
      <c r="H107" s="11" t="s">
        <v>450</v>
      </c>
      <c r="I107" s="11" t="s">
        <v>451</v>
      </c>
      <c r="J107" s="11" t="s">
        <v>56</v>
      </c>
      <c r="K107" s="13" t="s">
        <v>57</v>
      </c>
      <c r="L107" s="11" t="s">
        <v>58</v>
      </c>
      <c r="M107" s="11" t="s">
        <v>452</v>
      </c>
      <c r="N107" s="14" t="s">
        <v>60</v>
      </c>
      <c r="O107" s="14"/>
      <c r="P107" s="14"/>
      <c r="Q107" s="11"/>
    </row>
    <row r="108" customFormat="false" ht="23.25" hidden="false" customHeight="true" outlineLevel="0" collapsed="false">
      <c r="A108" s="18" t="n">
        <v>3</v>
      </c>
      <c r="B108" s="10" t="s">
        <v>453</v>
      </c>
      <c r="C108" s="11" t="s">
        <v>454</v>
      </c>
      <c r="D108" s="11" t="s">
        <v>50</v>
      </c>
      <c r="E108" s="11" t="s">
        <v>455</v>
      </c>
      <c r="F108" s="17" t="s">
        <v>456</v>
      </c>
      <c r="G108" s="11" t="s">
        <v>85</v>
      </c>
      <c r="H108" s="12" t="s">
        <v>54</v>
      </c>
      <c r="I108" s="11" t="s">
        <v>457</v>
      </c>
      <c r="J108" s="11" t="s">
        <v>56</v>
      </c>
      <c r="K108" s="13" t="s">
        <v>57</v>
      </c>
      <c r="L108" s="11" t="s">
        <v>58</v>
      </c>
      <c r="M108" s="11" t="s">
        <v>458</v>
      </c>
      <c r="N108" s="14" t="s">
        <v>60</v>
      </c>
      <c r="O108" s="14"/>
      <c r="P108" s="14"/>
      <c r="Q108" s="11"/>
    </row>
    <row r="109" customFormat="false" ht="23.25" hidden="false" customHeight="true" outlineLevel="0" collapsed="false">
      <c r="A109" s="18" t="n">
        <v>3</v>
      </c>
      <c r="B109" s="10" t="s">
        <v>453</v>
      </c>
      <c r="C109" s="11" t="s">
        <v>459</v>
      </c>
      <c r="D109" s="11" t="s">
        <v>191</v>
      </c>
      <c r="E109" s="11" t="s">
        <v>455</v>
      </c>
      <c r="F109" s="17" t="s">
        <v>456</v>
      </c>
      <c r="G109" s="11" t="s">
        <v>85</v>
      </c>
      <c r="H109" s="12" t="s">
        <v>460</v>
      </c>
      <c r="I109" s="11" t="s">
        <v>87</v>
      </c>
      <c r="J109" s="11" t="s">
        <v>56</v>
      </c>
      <c r="K109" s="13" t="s">
        <v>57</v>
      </c>
      <c r="L109" s="11" t="s">
        <v>58</v>
      </c>
      <c r="M109" s="11" t="s">
        <v>461</v>
      </c>
      <c r="N109" s="14" t="s">
        <v>60</v>
      </c>
      <c r="O109" s="14"/>
      <c r="P109" s="14"/>
      <c r="Q109" s="11"/>
    </row>
    <row r="110" customFormat="false" ht="23.25" hidden="false" customHeight="true" outlineLevel="0" collapsed="false">
      <c r="A110" s="18" t="n">
        <v>3</v>
      </c>
      <c r="B110" s="10" t="s">
        <v>462</v>
      </c>
      <c r="C110" s="11" t="s">
        <v>463</v>
      </c>
      <c r="D110" s="11" t="s">
        <v>464</v>
      </c>
      <c r="E110" s="11" t="s">
        <v>465</v>
      </c>
      <c r="F110" s="17" t="s">
        <v>466</v>
      </c>
      <c r="G110" s="11" t="s">
        <v>467</v>
      </c>
      <c r="H110" s="11" t="s">
        <v>468</v>
      </c>
      <c r="I110" s="11" t="s">
        <v>87</v>
      </c>
      <c r="J110" s="11" t="s">
        <v>56</v>
      </c>
      <c r="K110" s="13" t="s">
        <v>57</v>
      </c>
      <c r="L110" s="11" t="s">
        <v>58</v>
      </c>
      <c r="M110" s="11" t="s">
        <v>469</v>
      </c>
      <c r="N110" s="14" t="s">
        <v>60</v>
      </c>
      <c r="O110" s="14"/>
      <c r="P110" s="14"/>
      <c r="Q110" s="11" t="s">
        <v>470</v>
      </c>
    </row>
    <row r="111" customFormat="false" ht="23.25" hidden="false" customHeight="true" outlineLevel="0" collapsed="false">
      <c r="A111" s="18" t="n">
        <v>3</v>
      </c>
      <c r="B111" s="10" t="s">
        <v>462</v>
      </c>
      <c r="C111" s="11" t="s">
        <v>471</v>
      </c>
      <c r="D111" s="11" t="s">
        <v>472</v>
      </c>
      <c r="E111" s="11" t="s">
        <v>465</v>
      </c>
      <c r="F111" s="17" t="s">
        <v>466</v>
      </c>
      <c r="G111" s="11" t="s">
        <v>473</v>
      </c>
      <c r="H111" s="11" t="s">
        <v>468</v>
      </c>
      <c r="I111" s="11" t="s">
        <v>87</v>
      </c>
      <c r="J111" s="11" t="s">
        <v>56</v>
      </c>
      <c r="K111" s="13" t="s">
        <v>57</v>
      </c>
      <c r="L111" s="11" t="s">
        <v>58</v>
      </c>
      <c r="M111" s="11" t="s">
        <v>474</v>
      </c>
      <c r="N111" s="14" t="s">
        <v>60</v>
      </c>
      <c r="O111" s="14"/>
      <c r="P111" s="14"/>
      <c r="Q111" s="11" t="s">
        <v>475</v>
      </c>
    </row>
    <row r="112" customFormat="false" ht="23.25" hidden="false" customHeight="true" outlineLevel="0" collapsed="false">
      <c r="A112" s="18" t="n">
        <v>3</v>
      </c>
      <c r="B112" s="10" t="s">
        <v>462</v>
      </c>
      <c r="C112" s="11" t="s">
        <v>476</v>
      </c>
      <c r="D112" s="11" t="s">
        <v>477</v>
      </c>
      <c r="E112" s="11" t="s">
        <v>465</v>
      </c>
      <c r="F112" s="17" t="s">
        <v>466</v>
      </c>
      <c r="G112" s="11" t="s">
        <v>478</v>
      </c>
      <c r="H112" s="11" t="s">
        <v>468</v>
      </c>
      <c r="I112" s="11" t="s">
        <v>87</v>
      </c>
      <c r="J112" s="11" t="s">
        <v>56</v>
      </c>
      <c r="K112" s="13" t="s">
        <v>57</v>
      </c>
      <c r="L112" s="11" t="s">
        <v>58</v>
      </c>
      <c r="M112" s="11" t="s">
        <v>479</v>
      </c>
      <c r="N112" s="14" t="s">
        <v>60</v>
      </c>
      <c r="O112" s="14"/>
      <c r="P112" s="14"/>
      <c r="Q112" s="11" t="s">
        <v>480</v>
      </c>
    </row>
    <row r="113" customFormat="false" ht="34.5" hidden="false" customHeight="true" outlineLevel="0" collapsed="false">
      <c r="A113" s="18" t="n">
        <v>3</v>
      </c>
      <c r="B113" s="10" t="s">
        <v>462</v>
      </c>
      <c r="C113" s="11" t="s">
        <v>481</v>
      </c>
      <c r="D113" s="11" t="s">
        <v>482</v>
      </c>
      <c r="E113" s="11" t="s">
        <v>465</v>
      </c>
      <c r="F113" s="17" t="s">
        <v>466</v>
      </c>
      <c r="G113" s="11" t="s">
        <v>478</v>
      </c>
      <c r="H113" s="11" t="s">
        <v>483</v>
      </c>
      <c r="I113" s="11" t="s">
        <v>164</v>
      </c>
      <c r="J113" s="11" t="s">
        <v>67</v>
      </c>
      <c r="K113" s="13" t="s">
        <v>57</v>
      </c>
      <c r="L113" s="11" t="s">
        <v>58</v>
      </c>
      <c r="M113" s="11" t="s">
        <v>484</v>
      </c>
      <c r="N113" s="14" t="s">
        <v>60</v>
      </c>
      <c r="O113" s="14"/>
      <c r="P113" s="14"/>
      <c r="Q113" s="11" t="s">
        <v>485</v>
      </c>
    </row>
    <row r="114" customFormat="false" ht="23.25" hidden="false" customHeight="true" outlineLevel="0" collapsed="false">
      <c r="A114" s="18" t="n">
        <v>3</v>
      </c>
      <c r="B114" s="10" t="s">
        <v>462</v>
      </c>
      <c r="C114" s="11" t="s">
        <v>486</v>
      </c>
      <c r="D114" s="11" t="s">
        <v>487</v>
      </c>
      <c r="E114" s="11" t="s">
        <v>465</v>
      </c>
      <c r="F114" s="17" t="s">
        <v>466</v>
      </c>
      <c r="G114" s="11" t="s">
        <v>488</v>
      </c>
      <c r="H114" s="11" t="s">
        <v>489</v>
      </c>
      <c r="I114" s="11" t="s">
        <v>164</v>
      </c>
      <c r="J114" s="11" t="s">
        <v>67</v>
      </c>
      <c r="K114" s="13" t="s">
        <v>57</v>
      </c>
      <c r="L114" s="11" t="s">
        <v>58</v>
      </c>
      <c r="M114" s="11" t="s">
        <v>490</v>
      </c>
      <c r="N114" s="14" t="s">
        <v>60</v>
      </c>
      <c r="O114" s="14"/>
      <c r="P114" s="14"/>
      <c r="Q114" s="11" t="s">
        <v>491</v>
      </c>
    </row>
    <row r="115" customFormat="false" ht="23.25" hidden="false" customHeight="true" outlineLevel="0" collapsed="false">
      <c r="A115" s="18" t="n">
        <v>3</v>
      </c>
      <c r="B115" s="10" t="s">
        <v>462</v>
      </c>
      <c r="C115" s="11" t="s">
        <v>492</v>
      </c>
      <c r="D115" s="11" t="s">
        <v>493</v>
      </c>
      <c r="E115" s="11" t="s">
        <v>465</v>
      </c>
      <c r="F115" s="17" t="s">
        <v>466</v>
      </c>
      <c r="G115" s="11" t="s">
        <v>494</v>
      </c>
      <c r="H115" s="11" t="s">
        <v>495</v>
      </c>
      <c r="I115" s="11" t="s">
        <v>78</v>
      </c>
      <c r="J115" s="11" t="s">
        <v>56</v>
      </c>
      <c r="K115" s="13" t="s">
        <v>57</v>
      </c>
      <c r="L115" s="11" t="s">
        <v>58</v>
      </c>
      <c r="M115" s="11" t="s">
        <v>496</v>
      </c>
      <c r="N115" s="14" t="s">
        <v>60</v>
      </c>
      <c r="O115" s="14"/>
      <c r="P115" s="14"/>
      <c r="Q115" s="11" t="s">
        <v>497</v>
      </c>
    </row>
    <row r="116" customFormat="false" ht="23.25" hidden="false" customHeight="true" outlineLevel="0" collapsed="false">
      <c r="A116" s="18" t="n">
        <v>3</v>
      </c>
      <c r="B116" s="10" t="s">
        <v>462</v>
      </c>
      <c r="C116" s="11" t="s">
        <v>498</v>
      </c>
      <c r="D116" s="11" t="s">
        <v>499</v>
      </c>
      <c r="E116" s="11" t="s">
        <v>465</v>
      </c>
      <c r="F116" s="17" t="s">
        <v>466</v>
      </c>
      <c r="G116" s="11" t="s">
        <v>500</v>
      </c>
      <c r="H116" s="11" t="s">
        <v>489</v>
      </c>
      <c r="I116" s="11" t="s">
        <v>164</v>
      </c>
      <c r="J116" s="11" t="s">
        <v>56</v>
      </c>
      <c r="K116" s="13" t="s">
        <v>57</v>
      </c>
      <c r="L116" s="11" t="s">
        <v>58</v>
      </c>
      <c r="M116" s="11" t="s">
        <v>501</v>
      </c>
      <c r="N116" s="14" t="s">
        <v>60</v>
      </c>
      <c r="O116" s="14"/>
      <c r="P116" s="14"/>
      <c r="Q116" s="11" t="s">
        <v>502</v>
      </c>
    </row>
    <row r="117" customFormat="false" ht="23.25" hidden="false" customHeight="true" outlineLevel="0" collapsed="false">
      <c r="A117" s="18" t="n">
        <v>3</v>
      </c>
      <c r="B117" s="10" t="s">
        <v>503</v>
      </c>
      <c r="C117" s="11" t="s">
        <v>504</v>
      </c>
      <c r="D117" s="11" t="s">
        <v>505</v>
      </c>
      <c r="E117" s="11" t="s">
        <v>202</v>
      </c>
      <c r="F117" s="11" t="s">
        <v>506</v>
      </c>
      <c r="G117" s="17" t="s">
        <v>507</v>
      </c>
      <c r="H117" s="11" t="s">
        <v>508</v>
      </c>
      <c r="I117" s="11" t="s">
        <v>509</v>
      </c>
      <c r="J117" s="11" t="s">
        <v>56</v>
      </c>
      <c r="K117" s="13" t="s">
        <v>57</v>
      </c>
      <c r="L117" s="11" t="s">
        <v>206</v>
      </c>
      <c r="M117" s="11"/>
      <c r="N117" s="14" t="s">
        <v>60</v>
      </c>
      <c r="O117" s="14"/>
      <c r="P117" s="14"/>
      <c r="Q117" s="11"/>
    </row>
    <row r="118" customFormat="false" ht="23.25" hidden="false" customHeight="true" outlineLevel="0" collapsed="false">
      <c r="A118" s="18" t="n">
        <v>3</v>
      </c>
      <c r="B118" s="10" t="s">
        <v>510</v>
      </c>
      <c r="C118" s="11" t="s">
        <v>511</v>
      </c>
      <c r="D118" s="11" t="s">
        <v>512</v>
      </c>
      <c r="E118" s="11" t="s">
        <v>513</v>
      </c>
      <c r="F118" s="11" t="s">
        <v>514</v>
      </c>
      <c r="G118" s="11" t="s">
        <v>53</v>
      </c>
      <c r="H118" s="11" t="s">
        <v>515</v>
      </c>
      <c r="I118" s="11" t="s">
        <v>516</v>
      </c>
      <c r="J118" s="11" t="s">
        <v>56</v>
      </c>
      <c r="K118" s="13" t="s">
        <v>57</v>
      </c>
      <c r="L118" s="11" t="s">
        <v>517</v>
      </c>
      <c r="M118" s="11" t="s">
        <v>518</v>
      </c>
      <c r="N118" s="14" t="s">
        <v>60</v>
      </c>
      <c r="O118" s="14"/>
      <c r="P118" s="14"/>
      <c r="Q118" s="11"/>
    </row>
    <row r="119" customFormat="false" ht="34.5" hidden="false" customHeight="true" outlineLevel="0" collapsed="false">
      <c r="A119" s="18" t="n">
        <v>3</v>
      </c>
      <c r="B119" s="10" t="s">
        <v>519</v>
      </c>
      <c r="C119" s="11" t="s">
        <v>520</v>
      </c>
      <c r="D119" s="11" t="s">
        <v>521</v>
      </c>
      <c r="E119" s="11" t="s">
        <v>522</v>
      </c>
      <c r="F119" s="17" t="s">
        <v>523</v>
      </c>
      <c r="G119" s="11" t="s">
        <v>53</v>
      </c>
      <c r="H119" s="11" t="s">
        <v>524</v>
      </c>
      <c r="I119" s="11" t="s">
        <v>525</v>
      </c>
      <c r="J119" s="11" t="s">
        <v>56</v>
      </c>
      <c r="K119" s="13" t="s">
        <v>57</v>
      </c>
      <c r="L119" s="11" t="s">
        <v>526</v>
      </c>
      <c r="M119" s="11"/>
      <c r="N119" s="14" t="s">
        <v>60</v>
      </c>
      <c r="O119" s="14"/>
      <c r="P119" s="14"/>
      <c r="Q119" s="11"/>
    </row>
    <row r="120" customFormat="false" ht="23.25" hidden="false" customHeight="true" outlineLevel="0" collapsed="false">
      <c r="A120" s="18" t="n">
        <v>3</v>
      </c>
      <c r="B120" s="10" t="s">
        <v>519</v>
      </c>
      <c r="C120" s="11" t="s">
        <v>527</v>
      </c>
      <c r="D120" s="11" t="s">
        <v>521</v>
      </c>
      <c r="E120" s="11" t="s">
        <v>522</v>
      </c>
      <c r="F120" s="17" t="s">
        <v>523</v>
      </c>
      <c r="G120" s="11" t="s">
        <v>53</v>
      </c>
      <c r="H120" s="11" t="s">
        <v>528</v>
      </c>
      <c r="I120" s="11" t="s">
        <v>87</v>
      </c>
      <c r="J120" s="11" t="s">
        <v>67</v>
      </c>
      <c r="K120" s="13" t="s">
        <v>57</v>
      </c>
      <c r="L120" s="11" t="s">
        <v>526</v>
      </c>
      <c r="M120" s="11"/>
      <c r="N120" s="14" t="s">
        <v>60</v>
      </c>
      <c r="O120" s="14"/>
      <c r="P120" s="14"/>
      <c r="Q120" s="11"/>
    </row>
    <row r="121" customFormat="false" ht="23.25" hidden="false" customHeight="true" outlineLevel="0" collapsed="false">
      <c r="A121" s="18" t="n">
        <v>3</v>
      </c>
      <c r="B121" s="10" t="s">
        <v>529</v>
      </c>
      <c r="C121" s="11" t="s">
        <v>530</v>
      </c>
      <c r="D121" s="11" t="s">
        <v>531</v>
      </c>
      <c r="E121" s="11" t="s">
        <v>532</v>
      </c>
      <c r="F121" s="11" t="s">
        <v>506</v>
      </c>
      <c r="G121" s="17" t="s">
        <v>533</v>
      </c>
      <c r="H121" s="11" t="s">
        <v>534</v>
      </c>
      <c r="I121" s="11" t="s">
        <v>535</v>
      </c>
      <c r="J121" s="11" t="s">
        <v>67</v>
      </c>
      <c r="K121" s="13" t="s">
        <v>57</v>
      </c>
      <c r="L121" s="11" t="s">
        <v>206</v>
      </c>
      <c r="M121" s="11"/>
      <c r="N121" s="14" t="s">
        <v>60</v>
      </c>
      <c r="O121" s="14"/>
      <c r="P121" s="14"/>
      <c r="Q121" s="11" t="s">
        <v>536</v>
      </c>
    </row>
    <row r="122" customFormat="false" ht="23.25" hidden="false" customHeight="true" outlineLevel="0" collapsed="false">
      <c r="A122" s="18" t="n">
        <v>3</v>
      </c>
      <c r="B122" s="10" t="s">
        <v>537</v>
      </c>
      <c r="C122" s="11" t="s">
        <v>538</v>
      </c>
      <c r="D122" s="11" t="s">
        <v>539</v>
      </c>
      <c r="E122" s="11" t="s">
        <v>540</v>
      </c>
      <c r="F122" s="11" t="s">
        <v>541</v>
      </c>
      <c r="G122" s="11" t="s">
        <v>319</v>
      </c>
      <c r="H122" s="11" t="s">
        <v>86</v>
      </c>
      <c r="I122" s="11" t="s">
        <v>78</v>
      </c>
      <c r="J122" s="11" t="s">
        <v>67</v>
      </c>
      <c r="K122" s="13" t="s">
        <v>57</v>
      </c>
      <c r="L122" s="11" t="s">
        <v>206</v>
      </c>
      <c r="M122" s="11"/>
      <c r="N122" s="14" t="s">
        <v>60</v>
      </c>
      <c r="O122" s="14"/>
      <c r="P122" s="14"/>
      <c r="Q122" s="11"/>
    </row>
    <row r="123" customFormat="false" ht="23.25" hidden="false" customHeight="true" outlineLevel="0" collapsed="false">
      <c r="A123" s="18" t="n">
        <v>3</v>
      </c>
      <c r="B123" s="10" t="s">
        <v>542</v>
      </c>
      <c r="C123" s="11" t="s">
        <v>543</v>
      </c>
      <c r="D123" s="11" t="s">
        <v>544</v>
      </c>
      <c r="E123" s="11" t="s">
        <v>354</v>
      </c>
      <c r="F123" s="11" t="s">
        <v>545</v>
      </c>
      <c r="G123" s="11" t="s">
        <v>53</v>
      </c>
      <c r="H123" s="11" t="s">
        <v>546</v>
      </c>
      <c r="I123" s="11" t="s">
        <v>78</v>
      </c>
      <c r="J123" s="11" t="s">
        <v>56</v>
      </c>
      <c r="K123" s="13" t="s">
        <v>57</v>
      </c>
      <c r="L123" s="11" t="s">
        <v>58</v>
      </c>
      <c r="M123" s="11" t="s">
        <v>547</v>
      </c>
      <c r="N123" s="14" t="s">
        <v>60</v>
      </c>
      <c r="O123" s="14"/>
      <c r="P123" s="14"/>
      <c r="Q123" s="11"/>
    </row>
    <row r="124" customFormat="false" ht="23.25" hidden="false" customHeight="true" outlineLevel="0" collapsed="false">
      <c r="A124" s="18" t="n">
        <v>3</v>
      </c>
      <c r="B124" s="10" t="s">
        <v>548</v>
      </c>
      <c r="C124" s="11" t="s">
        <v>549</v>
      </c>
      <c r="D124" s="11" t="s">
        <v>550</v>
      </c>
      <c r="E124" s="11" t="s">
        <v>354</v>
      </c>
      <c r="F124" s="11" t="s">
        <v>551</v>
      </c>
      <c r="G124" s="11" t="s">
        <v>53</v>
      </c>
      <c r="H124" s="11" t="s">
        <v>86</v>
      </c>
      <c r="I124" s="11" t="s">
        <v>87</v>
      </c>
      <c r="J124" s="11" t="s">
        <v>56</v>
      </c>
      <c r="K124" s="13" t="s">
        <v>57</v>
      </c>
      <c r="L124" s="11" t="s">
        <v>58</v>
      </c>
      <c r="M124" s="11" t="s">
        <v>552</v>
      </c>
      <c r="N124" s="14" t="s">
        <v>60</v>
      </c>
      <c r="O124" s="14"/>
      <c r="P124" s="14"/>
      <c r="Q124" s="11"/>
    </row>
    <row r="125" customFormat="false" ht="23.25" hidden="false" customHeight="true" outlineLevel="0" collapsed="false">
      <c r="A125" s="18" t="n">
        <v>3</v>
      </c>
      <c r="B125" s="10" t="s">
        <v>553</v>
      </c>
      <c r="C125" s="11" t="s">
        <v>554</v>
      </c>
      <c r="D125" s="11" t="s">
        <v>555</v>
      </c>
      <c r="E125" s="11" t="s">
        <v>556</v>
      </c>
      <c r="F125" s="17" t="s">
        <v>557</v>
      </c>
      <c r="G125" s="11" t="s">
        <v>85</v>
      </c>
      <c r="H125" s="12" t="s">
        <v>558</v>
      </c>
      <c r="I125" s="11" t="s">
        <v>164</v>
      </c>
      <c r="J125" s="11" t="s">
        <v>56</v>
      </c>
      <c r="K125" s="13" t="s">
        <v>57</v>
      </c>
      <c r="L125" s="11" t="s">
        <v>58</v>
      </c>
      <c r="M125" s="11" t="s">
        <v>559</v>
      </c>
      <c r="N125" s="14" t="s">
        <v>60</v>
      </c>
      <c r="O125" s="14"/>
      <c r="P125" s="14"/>
      <c r="Q125" s="11" t="s">
        <v>560</v>
      </c>
    </row>
    <row r="126" customFormat="false" ht="23.25" hidden="false" customHeight="true" outlineLevel="0" collapsed="false">
      <c r="A126" s="18" t="n">
        <v>3</v>
      </c>
      <c r="B126" s="10" t="s">
        <v>553</v>
      </c>
      <c r="C126" s="11" t="s">
        <v>561</v>
      </c>
      <c r="D126" s="11" t="s">
        <v>555</v>
      </c>
      <c r="E126" s="11" t="s">
        <v>556</v>
      </c>
      <c r="F126" s="17" t="s">
        <v>557</v>
      </c>
      <c r="G126" s="11" t="s">
        <v>562</v>
      </c>
      <c r="H126" s="12" t="s">
        <v>563</v>
      </c>
      <c r="I126" s="11" t="s">
        <v>164</v>
      </c>
      <c r="J126" s="11" t="s">
        <v>56</v>
      </c>
      <c r="K126" s="13" t="s">
        <v>57</v>
      </c>
      <c r="L126" s="11" t="s">
        <v>58</v>
      </c>
      <c r="M126" s="11" t="s">
        <v>564</v>
      </c>
      <c r="N126" s="14" t="s">
        <v>60</v>
      </c>
      <c r="O126" s="14"/>
      <c r="P126" s="14"/>
      <c r="Q126" s="11" t="s">
        <v>565</v>
      </c>
    </row>
    <row r="127" customFormat="false" ht="23.25" hidden="false" customHeight="true" outlineLevel="0" collapsed="false">
      <c r="A127" s="18" t="n">
        <v>3</v>
      </c>
      <c r="B127" s="10" t="s">
        <v>566</v>
      </c>
      <c r="C127" s="11" t="s">
        <v>567</v>
      </c>
      <c r="D127" s="11" t="s">
        <v>568</v>
      </c>
      <c r="E127" s="11" t="s">
        <v>387</v>
      </c>
      <c r="F127" s="11" t="s">
        <v>569</v>
      </c>
      <c r="G127" s="11" t="s">
        <v>53</v>
      </c>
      <c r="H127" s="11" t="s">
        <v>86</v>
      </c>
      <c r="I127" s="11" t="s">
        <v>78</v>
      </c>
      <c r="J127" s="11" t="s">
        <v>56</v>
      </c>
      <c r="K127" s="13" t="s">
        <v>57</v>
      </c>
      <c r="L127" s="11" t="s">
        <v>206</v>
      </c>
      <c r="M127" s="11"/>
      <c r="N127" s="14" t="s">
        <v>60</v>
      </c>
      <c r="O127" s="14"/>
      <c r="P127" s="14"/>
      <c r="Q127" s="11"/>
    </row>
    <row r="128" customFormat="false" ht="23.25" hidden="false" customHeight="true" outlineLevel="0" collapsed="false">
      <c r="A128" s="18" t="n">
        <v>3</v>
      </c>
      <c r="B128" s="10" t="s">
        <v>570</v>
      </c>
      <c r="C128" s="11" t="s">
        <v>81</v>
      </c>
      <c r="D128" s="11" t="s">
        <v>550</v>
      </c>
      <c r="E128" s="11" t="s">
        <v>455</v>
      </c>
      <c r="F128" s="11" t="s">
        <v>571</v>
      </c>
      <c r="G128" s="11" t="s">
        <v>85</v>
      </c>
      <c r="H128" s="11" t="s">
        <v>572</v>
      </c>
      <c r="I128" s="11" t="s">
        <v>87</v>
      </c>
      <c r="J128" s="11" t="s">
        <v>56</v>
      </c>
      <c r="K128" s="13" t="s">
        <v>57</v>
      </c>
      <c r="L128" s="11" t="s">
        <v>573</v>
      </c>
      <c r="M128" s="11" t="s">
        <v>574</v>
      </c>
      <c r="N128" s="14" t="s">
        <v>60</v>
      </c>
      <c r="O128" s="14"/>
      <c r="P128" s="14"/>
      <c r="Q128" s="11"/>
    </row>
    <row r="129" customFormat="false" ht="23.25" hidden="false" customHeight="true" outlineLevel="0" collapsed="false">
      <c r="A129" s="18" t="n">
        <v>3</v>
      </c>
      <c r="B129" s="10" t="s">
        <v>575</v>
      </c>
      <c r="C129" s="11" t="s">
        <v>576</v>
      </c>
      <c r="D129" s="11" t="s">
        <v>577</v>
      </c>
      <c r="E129" s="11" t="s">
        <v>578</v>
      </c>
      <c r="F129" s="17" t="s">
        <v>579</v>
      </c>
      <c r="G129" s="17" t="s">
        <v>580</v>
      </c>
      <c r="H129" s="11" t="s">
        <v>581</v>
      </c>
      <c r="I129" s="11" t="s">
        <v>582</v>
      </c>
      <c r="J129" s="11" t="s">
        <v>56</v>
      </c>
      <c r="K129" s="13" t="s">
        <v>57</v>
      </c>
      <c r="L129" s="11" t="s">
        <v>206</v>
      </c>
      <c r="M129" s="11"/>
      <c r="N129" s="14" t="s">
        <v>60</v>
      </c>
      <c r="O129" s="14"/>
      <c r="P129" s="14"/>
      <c r="Q129" s="11" t="s">
        <v>583</v>
      </c>
    </row>
    <row r="130" customFormat="false" ht="23.25" hidden="false" customHeight="true" outlineLevel="0" collapsed="false">
      <c r="A130" s="18" t="n">
        <v>3</v>
      </c>
      <c r="B130" s="10" t="s">
        <v>584</v>
      </c>
      <c r="C130" s="11" t="s">
        <v>585</v>
      </c>
      <c r="D130" s="11" t="s">
        <v>586</v>
      </c>
      <c r="E130" s="11" t="s">
        <v>587</v>
      </c>
      <c r="F130" s="11" t="s">
        <v>545</v>
      </c>
      <c r="G130" s="11" t="s">
        <v>319</v>
      </c>
      <c r="H130" s="11" t="s">
        <v>86</v>
      </c>
      <c r="I130" s="11" t="s">
        <v>87</v>
      </c>
      <c r="J130" s="11" t="s">
        <v>56</v>
      </c>
      <c r="K130" s="13" t="s">
        <v>57</v>
      </c>
      <c r="L130" s="11" t="s">
        <v>58</v>
      </c>
      <c r="M130" s="11" t="s">
        <v>588</v>
      </c>
      <c r="N130" s="14" t="s">
        <v>60</v>
      </c>
      <c r="O130" s="14"/>
      <c r="P130" s="14"/>
      <c r="Q130" s="11"/>
    </row>
    <row r="131" customFormat="false" ht="23.25" hidden="false" customHeight="true" outlineLevel="0" collapsed="false">
      <c r="A131" s="18" t="n">
        <v>3</v>
      </c>
      <c r="B131" s="10" t="s">
        <v>584</v>
      </c>
      <c r="C131" s="11" t="s">
        <v>589</v>
      </c>
      <c r="D131" s="11" t="s">
        <v>191</v>
      </c>
      <c r="E131" s="11" t="s">
        <v>587</v>
      </c>
      <c r="F131" s="11" t="s">
        <v>545</v>
      </c>
      <c r="G131" s="16" t="s">
        <v>590</v>
      </c>
      <c r="H131" s="11" t="s">
        <v>591</v>
      </c>
      <c r="I131" s="11" t="s">
        <v>87</v>
      </c>
      <c r="J131" s="11" t="s">
        <v>56</v>
      </c>
      <c r="K131" s="13" t="s">
        <v>57</v>
      </c>
      <c r="L131" s="11" t="s">
        <v>58</v>
      </c>
      <c r="M131" s="11" t="s">
        <v>592</v>
      </c>
      <c r="N131" s="14" t="s">
        <v>60</v>
      </c>
      <c r="O131" s="14"/>
      <c r="P131" s="14"/>
      <c r="Q131" s="11"/>
    </row>
    <row r="132" customFormat="false" ht="23.25" hidden="false" customHeight="true" outlineLevel="0" collapsed="false">
      <c r="A132" s="18" t="n">
        <v>3</v>
      </c>
      <c r="B132" s="10" t="s">
        <v>584</v>
      </c>
      <c r="C132" s="11" t="s">
        <v>593</v>
      </c>
      <c r="D132" s="11" t="s">
        <v>50</v>
      </c>
      <c r="E132" s="11" t="s">
        <v>587</v>
      </c>
      <c r="F132" s="11" t="s">
        <v>545</v>
      </c>
      <c r="G132" s="16" t="s">
        <v>594</v>
      </c>
      <c r="H132" s="11" t="s">
        <v>86</v>
      </c>
      <c r="I132" s="11" t="s">
        <v>87</v>
      </c>
      <c r="J132" s="11" t="s">
        <v>56</v>
      </c>
      <c r="K132" s="13" t="s">
        <v>57</v>
      </c>
      <c r="L132" s="11" t="s">
        <v>58</v>
      </c>
      <c r="M132" s="11" t="s">
        <v>595</v>
      </c>
      <c r="N132" s="14" t="s">
        <v>60</v>
      </c>
      <c r="O132" s="14"/>
      <c r="P132" s="14"/>
      <c r="Q132" s="11"/>
    </row>
    <row r="133" customFormat="false" ht="23.25" hidden="false" customHeight="true" outlineLevel="0" collapsed="false">
      <c r="A133" s="18" t="n">
        <v>3</v>
      </c>
      <c r="B133" s="10" t="s">
        <v>596</v>
      </c>
      <c r="C133" s="11" t="s">
        <v>597</v>
      </c>
      <c r="D133" s="11" t="s">
        <v>598</v>
      </c>
      <c r="E133" s="11" t="s">
        <v>465</v>
      </c>
      <c r="F133" s="11" t="s">
        <v>599</v>
      </c>
      <c r="G133" s="11" t="s">
        <v>53</v>
      </c>
      <c r="H133" s="11" t="s">
        <v>86</v>
      </c>
      <c r="I133" s="11" t="s">
        <v>87</v>
      </c>
      <c r="J133" s="11" t="s">
        <v>67</v>
      </c>
      <c r="K133" s="13" t="s">
        <v>57</v>
      </c>
      <c r="L133" s="11" t="s">
        <v>58</v>
      </c>
      <c r="M133" s="11" t="s">
        <v>600</v>
      </c>
      <c r="N133" s="14" t="s">
        <v>60</v>
      </c>
      <c r="O133" s="14"/>
      <c r="P133" s="14"/>
      <c r="Q133" s="11"/>
    </row>
    <row r="134" customFormat="false" ht="23.25" hidden="false" customHeight="true" outlineLevel="0" collapsed="false">
      <c r="A134" s="18" t="n">
        <v>3</v>
      </c>
      <c r="B134" s="10" t="s">
        <v>596</v>
      </c>
      <c r="C134" s="11" t="s">
        <v>601</v>
      </c>
      <c r="D134" s="11" t="s">
        <v>602</v>
      </c>
      <c r="E134" s="11" t="s">
        <v>465</v>
      </c>
      <c r="F134" s="11" t="s">
        <v>599</v>
      </c>
      <c r="G134" s="11" t="s">
        <v>53</v>
      </c>
      <c r="H134" s="11" t="s">
        <v>86</v>
      </c>
      <c r="I134" s="11" t="s">
        <v>164</v>
      </c>
      <c r="J134" s="11" t="s">
        <v>56</v>
      </c>
      <c r="K134" s="13" t="s">
        <v>57</v>
      </c>
      <c r="L134" s="11" t="s">
        <v>58</v>
      </c>
      <c r="M134" s="11" t="s">
        <v>603</v>
      </c>
      <c r="N134" s="14" t="s">
        <v>60</v>
      </c>
      <c r="O134" s="14"/>
      <c r="P134" s="14"/>
      <c r="Q134" s="11"/>
    </row>
    <row r="135" customFormat="false" ht="23.25" hidden="false" customHeight="true" outlineLevel="0" collapsed="false">
      <c r="A135" s="18" t="n">
        <v>3</v>
      </c>
      <c r="B135" s="10" t="s">
        <v>596</v>
      </c>
      <c r="C135" s="11" t="s">
        <v>604</v>
      </c>
      <c r="D135" s="11" t="s">
        <v>605</v>
      </c>
      <c r="E135" s="11" t="s">
        <v>465</v>
      </c>
      <c r="F135" s="11" t="s">
        <v>599</v>
      </c>
      <c r="G135" s="11" t="s">
        <v>53</v>
      </c>
      <c r="H135" s="11" t="s">
        <v>86</v>
      </c>
      <c r="I135" s="11" t="s">
        <v>164</v>
      </c>
      <c r="J135" s="11" t="s">
        <v>56</v>
      </c>
      <c r="K135" s="13" t="s">
        <v>57</v>
      </c>
      <c r="L135" s="11" t="s">
        <v>58</v>
      </c>
      <c r="M135" s="11" t="s">
        <v>606</v>
      </c>
      <c r="N135" s="14" t="s">
        <v>60</v>
      </c>
      <c r="O135" s="14"/>
      <c r="P135" s="14"/>
      <c r="Q135" s="11"/>
    </row>
    <row r="136" customFormat="false" ht="23.25" hidden="false" customHeight="true" outlineLevel="0" collapsed="false">
      <c r="A136" s="18" t="n">
        <v>3</v>
      </c>
      <c r="B136" s="10" t="s">
        <v>607</v>
      </c>
      <c r="C136" s="11" t="s">
        <v>608</v>
      </c>
      <c r="D136" s="11" t="s">
        <v>609</v>
      </c>
      <c r="E136" s="11" t="s">
        <v>578</v>
      </c>
      <c r="F136" s="17" t="s">
        <v>610</v>
      </c>
      <c r="G136" s="11" t="s">
        <v>53</v>
      </c>
      <c r="H136" s="11" t="s">
        <v>86</v>
      </c>
      <c r="I136" s="11" t="s">
        <v>164</v>
      </c>
      <c r="J136" s="11" t="s">
        <v>111</v>
      </c>
      <c r="K136" s="13" t="s">
        <v>57</v>
      </c>
      <c r="L136" s="11" t="s">
        <v>611</v>
      </c>
      <c r="M136" s="11"/>
      <c r="N136" s="14" t="s">
        <v>60</v>
      </c>
      <c r="O136" s="14"/>
      <c r="P136" s="14"/>
      <c r="Q136" s="11" t="s">
        <v>612</v>
      </c>
    </row>
    <row r="137" customFormat="false" ht="23.25" hidden="false" customHeight="true" outlineLevel="0" collapsed="false">
      <c r="A137" s="18" t="n">
        <v>3</v>
      </c>
      <c r="B137" s="10" t="s">
        <v>607</v>
      </c>
      <c r="C137" s="11" t="s">
        <v>613</v>
      </c>
      <c r="D137" s="11" t="s">
        <v>50</v>
      </c>
      <c r="E137" s="11" t="s">
        <v>578</v>
      </c>
      <c r="F137" s="17" t="s">
        <v>610</v>
      </c>
      <c r="G137" s="11" t="s">
        <v>53</v>
      </c>
      <c r="H137" s="11" t="s">
        <v>86</v>
      </c>
      <c r="I137" s="11" t="s">
        <v>87</v>
      </c>
      <c r="J137" s="11" t="s">
        <v>56</v>
      </c>
      <c r="K137" s="13" t="s">
        <v>57</v>
      </c>
      <c r="L137" s="11" t="s">
        <v>611</v>
      </c>
      <c r="M137" s="11"/>
      <c r="N137" s="14" t="s">
        <v>60</v>
      </c>
      <c r="O137" s="14"/>
      <c r="P137" s="14"/>
      <c r="Q137" s="11"/>
    </row>
    <row r="138" customFormat="false" ht="23.25" hidden="false" customHeight="true" outlineLevel="0" collapsed="false">
      <c r="A138" s="18" t="n">
        <v>3</v>
      </c>
      <c r="B138" s="10" t="s">
        <v>607</v>
      </c>
      <c r="C138" s="11" t="s">
        <v>614</v>
      </c>
      <c r="D138" s="11" t="s">
        <v>50</v>
      </c>
      <c r="E138" s="11" t="s">
        <v>578</v>
      </c>
      <c r="F138" s="17" t="s">
        <v>610</v>
      </c>
      <c r="G138" s="11" t="s">
        <v>53</v>
      </c>
      <c r="H138" s="11" t="s">
        <v>86</v>
      </c>
      <c r="I138" s="11" t="s">
        <v>87</v>
      </c>
      <c r="J138" s="11" t="s">
        <v>56</v>
      </c>
      <c r="K138" s="13" t="s">
        <v>57</v>
      </c>
      <c r="L138" s="11" t="s">
        <v>611</v>
      </c>
      <c r="M138" s="11"/>
      <c r="N138" s="14" t="s">
        <v>60</v>
      </c>
      <c r="O138" s="14"/>
      <c r="P138" s="14"/>
      <c r="Q138" s="11" t="s">
        <v>615</v>
      </c>
    </row>
    <row r="139" customFormat="false" ht="23.25" hidden="false" customHeight="true" outlineLevel="0" collapsed="false">
      <c r="A139" s="18" t="n">
        <v>3</v>
      </c>
      <c r="B139" s="10" t="s">
        <v>607</v>
      </c>
      <c r="C139" s="11" t="s">
        <v>616</v>
      </c>
      <c r="D139" s="11" t="s">
        <v>50</v>
      </c>
      <c r="E139" s="11" t="s">
        <v>578</v>
      </c>
      <c r="F139" s="17" t="s">
        <v>610</v>
      </c>
      <c r="G139" s="11" t="s">
        <v>53</v>
      </c>
      <c r="H139" s="11" t="s">
        <v>86</v>
      </c>
      <c r="I139" s="11" t="s">
        <v>78</v>
      </c>
      <c r="J139" s="11" t="s">
        <v>56</v>
      </c>
      <c r="K139" s="13" t="s">
        <v>57</v>
      </c>
      <c r="L139" s="11" t="s">
        <v>611</v>
      </c>
      <c r="M139" s="11"/>
      <c r="N139" s="14" t="s">
        <v>60</v>
      </c>
      <c r="O139" s="14"/>
      <c r="P139" s="14"/>
      <c r="Q139" s="11"/>
    </row>
    <row r="140" customFormat="false" ht="23.25" hidden="false" customHeight="true" outlineLevel="0" collapsed="false">
      <c r="A140" s="18" t="n">
        <v>3</v>
      </c>
      <c r="B140" s="10" t="s">
        <v>617</v>
      </c>
      <c r="C140" s="11" t="s">
        <v>618</v>
      </c>
      <c r="D140" s="11" t="s">
        <v>50</v>
      </c>
      <c r="E140" s="11" t="s">
        <v>556</v>
      </c>
      <c r="F140" s="17" t="s">
        <v>619</v>
      </c>
      <c r="G140" s="11" t="s">
        <v>53</v>
      </c>
      <c r="H140" s="11" t="s">
        <v>620</v>
      </c>
      <c r="I140" s="11" t="s">
        <v>621</v>
      </c>
      <c r="J140" s="11" t="s">
        <v>56</v>
      </c>
      <c r="K140" s="13" t="s">
        <v>57</v>
      </c>
      <c r="L140" s="11" t="s">
        <v>622</v>
      </c>
      <c r="M140" s="11" t="s">
        <v>623</v>
      </c>
      <c r="N140" s="14" t="s">
        <v>60</v>
      </c>
      <c r="O140" s="14"/>
      <c r="P140" s="14"/>
      <c r="Q140" s="11" t="s">
        <v>624</v>
      </c>
    </row>
  </sheetData>
  <autoFilter ref="A1:Q140"/>
  <dataValidations count="1">
    <dataValidation allowBlank="true" errorStyle="stop" operator="between" showDropDown="false" showErrorMessage="false" showInputMessage="false" sqref="N2:N140" type="list">
      <formula1>"Not started,Applied,Referral requested,Recruiter screen,Tech screen,Onsite,Offer,Rejected,Closed"</formula1>
      <formula2>0</formula2>
    </dataValidation>
  </dataValidations>
  <hyperlinks>
    <hyperlink ref="K2" r:id="rId1" display="Apply"/>
    <hyperlink ref="K3" r:id="rId2" display="Apply"/>
    <hyperlink ref="K4" r:id="rId3" display="Apply"/>
    <hyperlink ref="K5" r:id="rId4" display="Apply"/>
    <hyperlink ref="K6" r:id="rId5" display="Apply"/>
    <hyperlink ref="K7" r:id="rId6" display="Apply"/>
    <hyperlink ref="K8" r:id="rId7" display="Apply"/>
    <hyperlink ref="K9" r:id="rId8" display="Apply"/>
    <hyperlink ref="K10" r:id="rId9" display="Apply"/>
    <hyperlink ref="K11" r:id="rId10" display="Apply"/>
    <hyperlink ref="K12" r:id="rId11" display="Apply"/>
    <hyperlink ref="K13" r:id="rId12" display="Apply"/>
    <hyperlink ref="K14" r:id="rId13" display="Apply"/>
    <hyperlink ref="K15" r:id="rId14" display="Apply"/>
    <hyperlink ref="K16" r:id="rId15" display="Apply"/>
    <hyperlink ref="K17" r:id="rId16" display="Apply"/>
    <hyperlink ref="K18" r:id="rId17" display="Apply"/>
    <hyperlink ref="K19" r:id="rId18" display="Apply"/>
    <hyperlink ref="K20" r:id="rId19" display="Apply"/>
    <hyperlink ref="K21" r:id="rId20" display="Apply"/>
    <hyperlink ref="K22" r:id="rId21" display="Apply"/>
    <hyperlink ref="K23" r:id="rId22" display="Apply"/>
    <hyperlink ref="K24" r:id="rId23" display="Apply"/>
    <hyperlink ref="K25" r:id="rId24" display="Apply"/>
    <hyperlink ref="K26" r:id="rId25" display="Apply"/>
    <hyperlink ref="K27" r:id="rId26" display="Apply"/>
    <hyperlink ref="K28" r:id="rId27" display="Apply"/>
    <hyperlink ref="K29" r:id="rId28" display="Apply"/>
    <hyperlink ref="K30" r:id="rId29" display="Apply"/>
    <hyperlink ref="K31" r:id="rId30" display="Apply"/>
    <hyperlink ref="K32" r:id="rId31" display="Apply"/>
    <hyperlink ref="K33" r:id="rId32" display="Apply"/>
    <hyperlink ref="K34" r:id="rId33" display="Apply"/>
    <hyperlink ref="K35" r:id="rId34" display="Apply"/>
    <hyperlink ref="K36" r:id="rId35" display="Apply"/>
    <hyperlink ref="K37" r:id="rId36" display="Apply"/>
    <hyperlink ref="K38" r:id="rId37" display="Apply"/>
    <hyperlink ref="K39" r:id="rId38" display="Apply"/>
    <hyperlink ref="K40" r:id="rId39" display="Apply"/>
    <hyperlink ref="K41" r:id="rId40" display="Apply"/>
    <hyperlink ref="K42" r:id="rId41" display="Apply"/>
    <hyperlink ref="K43" r:id="rId42" display="Apply"/>
    <hyperlink ref="K44" r:id="rId43" display="Apply"/>
    <hyperlink ref="K45" r:id="rId44" display="Apply"/>
    <hyperlink ref="K46" r:id="rId45" display="Apply"/>
    <hyperlink ref="K47" r:id="rId46" display="Apply"/>
    <hyperlink ref="K48" r:id="rId47" display="Apply"/>
    <hyperlink ref="K49" r:id="rId48" display="Apply"/>
    <hyperlink ref="K50" r:id="rId49" display="Apply"/>
    <hyperlink ref="K51" r:id="rId50" display="Apply"/>
    <hyperlink ref="K52" r:id="rId51" display="Apply"/>
    <hyperlink ref="K53" r:id="rId52" display="Apply"/>
    <hyperlink ref="K54" r:id="rId53" display="Apply"/>
    <hyperlink ref="K55" r:id="rId54" display="Apply"/>
    <hyperlink ref="K56" r:id="rId55" display="Apply"/>
    <hyperlink ref="K57" r:id="rId56" display="Apply"/>
    <hyperlink ref="K58" r:id="rId57" display="Apply"/>
    <hyperlink ref="K59" r:id="rId58" display="Apply"/>
    <hyperlink ref="K60" r:id="rId59" display="Apply"/>
    <hyperlink ref="K61" r:id="rId60" display="Apply"/>
    <hyperlink ref="K62" r:id="rId61" display="Apply"/>
    <hyperlink ref="K63" r:id="rId62" display="Apply"/>
    <hyperlink ref="K64" r:id="rId63" display="Apply"/>
    <hyperlink ref="K65" r:id="rId64" display="Apply"/>
    <hyperlink ref="K66" r:id="rId65" display="Apply"/>
    <hyperlink ref="K67" r:id="rId66" display="Apply"/>
    <hyperlink ref="K68" r:id="rId67" display="Apply"/>
    <hyperlink ref="K69" r:id="rId68" display="Apply"/>
    <hyperlink ref="K70" r:id="rId69" display="Apply"/>
    <hyperlink ref="K71" r:id="rId70" display="Apply"/>
    <hyperlink ref="K72" r:id="rId71" display="Apply"/>
    <hyperlink ref="K73" r:id="rId72" display="Apply"/>
    <hyperlink ref="K74" r:id="rId73" display="Apply"/>
    <hyperlink ref="K75" r:id="rId74" display="Apply"/>
    <hyperlink ref="K76" r:id="rId75" display="Apply"/>
    <hyperlink ref="K77" r:id="rId76" display="Apply"/>
    <hyperlink ref="K78" r:id="rId77" display="Apply"/>
    <hyperlink ref="K79" r:id="rId78" display="Apply"/>
    <hyperlink ref="K80" r:id="rId79" display="Apply"/>
    <hyperlink ref="K81" r:id="rId80" display="Apply"/>
    <hyperlink ref="K82" r:id="rId81" display="Apply"/>
    <hyperlink ref="K83" r:id="rId82" display="Apply"/>
    <hyperlink ref="K84" r:id="rId83" display="Apply"/>
    <hyperlink ref="K85" r:id="rId84" display="Apply"/>
    <hyperlink ref="K86" r:id="rId85" display="Apply"/>
    <hyperlink ref="K87" r:id="rId86" display="Apply"/>
    <hyperlink ref="K88" r:id="rId87" display="Apply"/>
    <hyperlink ref="K89" r:id="rId88" display="Apply"/>
    <hyperlink ref="K90" r:id="rId89" display="Apply"/>
    <hyperlink ref="K91" r:id="rId90" display="Apply"/>
    <hyperlink ref="K92" r:id="rId91" display="Apply"/>
    <hyperlink ref="K93" r:id="rId92" display="Apply"/>
    <hyperlink ref="K94" r:id="rId93" display="Apply"/>
    <hyperlink ref="K95" r:id="rId94" display="Apply"/>
    <hyperlink ref="K96" r:id="rId95" display="Apply"/>
    <hyperlink ref="K97" r:id="rId96" display="Apply"/>
    <hyperlink ref="K98" r:id="rId97" display="Apply"/>
    <hyperlink ref="K99" r:id="rId98" display="Apply"/>
    <hyperlink ref="K100" r:id="rId99" display="Apply"/>
    <hyperlink ref="K101" r:id="rId100" display="Apply"/>
    <hyperlink ref="K102" r:id="rId101" display="Apply"/>
    <hyperlink ref="K103" r:id="rId102" display="Apply"/>
    <hyperlink ref="K104" r:id="rId103" display="Apply"/>
    <hyperlink ref="K105" r:id="rId104" display="Apply"/>
    <hyperlink ref="K106" r:id="rId105" display="Apply"/>
    <hyperlink ref="K107" r:id="rId106" display="Apply"/>
    <hyperlink ref="K108" r:id="rId107" display="Apply"/>
    <hyperlink ref="K109" r:id="rId108" display="Apply"/>
    <hyperlink ref="K110" r:id="rId109" display="Apply"/>
    <hyperlink ref="K111" r:id="rId110" display="Apply"/>
    <hyperlink ref="K112" r:id="rId111" display="Apply"/>
    <hyperlink ref="K113" r:id="rId112" display="Apply"/>
    <hyperlink ref="K114" r:id="rId113" display="Apply"/>
    <hyperlink ref="K115" r:id="rId114" display="Apply"/>
    <hyperlink ref="K116" r:id="rId115" display="Apply"/>
    <hyperlink ref="K117" r:id="rId116" display="Apply"/>
    <hyperlink ref="K118" r:id="rId117" display="Apply"/>
    <hyperlink ref="K119" r:id="rId118" display="Apply"/>
    <hyperlink ref="K120" r:id="rId119" display="Apply"/>
    <hyperlink ref="K121" r:id="rId120" display="Apply"/>
    <hyperlink ref="K122" r:id="rId121" display="Apply"/>
    <hyperlink ref="K123" r:id="rId122" display="Apply"/>
    <hyperlink ref="K124" r:id="rId123" display="Apply"/>
    <hyperlink ref="K125" r:id="rId124" display="Apply"/>
    <hyperlink ref="K126" r:id="rId125" display="Apply"/>
    <hyperlink ref="K127" r:id="rId126" display="Apply"/>
    <hyperlink ref="K128" r:id="rId127" display="Apply"/>
    <hyperlink ref="K129" r:id="rId128" display="Apply"/>
    <hyperlink ref="K130" r:id="rId129" display="Apply"/>
    <hyperlink ref="K131" r:id="rId130" display="Apply"/>
    <hyperlink ref="K132" r:id="rId131" display="Apply"/>
    <hyperlink ref="K133" r:id="rId132" display="Apply"/>
    <hyperlink ref="K134" r:id="rId133" display="Apply"/>
    <hyperlink ref="K135" r:id="rId134" display="Apply"/>
    <hyperlink ref="K136" r:id="rId135" display="Apply"/>
    <hyperlink ref="K137" r:id="rId136" display="Apply"/>
    <hyperlink ref="K138" r:id="rId137" display="Apply"/>
    <hyperlink ref="K139" r:id="rId138" display="Apply"/>
    <hyperlink ref="K140" r:id="rId139" display="Appl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8"/>
  </cols>
  <sheetData>
    <row r="1" customFormat="false" ht="33.75" hidden="false" customHeight="true" outlineLevel="0" collapsed="false">
      <c r="A1" s="8" t="s">
        <v>625</v>
      </c>
      <c r="B1" s="8" t="s">
        <v>32</v>
      </c>
      <c r="C1" s="8" t="s">
        <v>33</v>
      </c>
      <c r="D1" s="8" t="s">
        <v>626</v>
      </c>
      <c r="E1" s="8" t="s">
        <v>627</v>
      </c>
      <c r="F1" s="8" t="s">
        <v>628</v>
      </c>
      <c r="G1" s="8" t="s">
        <v>629</v>
      </c>
      <c r="H1" s="8" t="s">
        <v>41</v>
      </c>
      <c r="I1" s="8" t="s">
        <v>630</v>
      </c>
    </row>
    <row r="2" customFormat="false" ht="35.05" hidden="false" customHeight="false" outlineLevel="0" collapsed="false">
      <c r="A2" s="19" t="n">
        <v>1</v>
      </c>
      <c r="B2" s="16" t="s">
        <v>631</v>
      </c>
      <c r="C2" s="19" t="s">
        <v>632</v>
      </c>
      <c r="D2" s="19" t="s">
        <v>633</v>
      </c>
      <c r="E2" s="19" t="s">
        <v>634</v>
      </c>
      <c r="F2" s="19" t="s">
        <v>635</v>
      </c>
      <c r="G2" s="19" t="s">
        <v>636</v>
      </c>
      <c r="H2" s="20" t="s">
        <v>57</v>
      </c>
      <c r="I2" s="19" t="s">
        <v>637</v>
      </c>
    </row>
    <row r="3" customFormat="false" ht="46.25" hidden="false" customHeight="false" outlineLevel="0" collapsed="false">
      <c r="A3" s="11" t="n">
        <v>2</v>
      </c>
      <c r="B3" s="10" t="s">
        <v>249</v>
      </c>
      <c r="C3" s="11" t="s">
        <v>638</v>
      </c>
      <c r="D3" s="11" t="s">
        <v>639</v>
      </c>
      <c r="E3" s="15" t="s">
        <v>640</v>
      </c>
      <c r="F3" s="11" t="s">
        <v>641</v>
      </c>
      <c r="G3" s="11" t="s">
        <v>642</v>
      </c>
      <c r="H3" s="13" t="s">
        <v>57</v>
      </c>
      <c r="I3" s="11" t="s">
        <v>643</v>
      </c>
    </row>
    <row r="4" customFormat="false" ht="15" hidden="false" customHeight="false" outlineLevel="0" collapsed="false">
      <c r="A4" s="11" t="n">
        <v>3</v>
      </c>
      <c r="B4" s="10" t="s">
        <v>249</v>
      </c>
      <c r="C4" s="11" t="s">
        <v>644</v>
      </c>
      <c r="D4" s="11" t="s">
        <v>639</v>
      </c>
      <c r="E4" s="15" t="s">
        <v>640</v>
      </c>
      <c r="F4" s="11" t="s">
        <v>645</v>
      </c>
      <c r="G4" s="11" t="s">
        <v>642</v>
      </c>
      <c r="H4" s="13" t="s">
        <v>57</v>
      </c>
      <c r="I4" s="11" t="s">
        <v>646</v>
      </c>
    </row>
    <row r="5" customFormat="false" ht="15" hidden="false" customHeight="false" outlineLevel="0" collapsed="false">
      <c r="A5" s="11" t="n">
        <v>4</v>
      </c>
      <c r="B5" s="10" t="s">
        <v>249</v>
      </c>
      <c r="C5" s="11" t="s">
        <v>647</v>
      </c>
      <c r="D5" s="11" t="s">
        <v>639</v>
      </c>
      <c r="E5" s="15" t="s">
        <v>640</v>
      </c>
      <c r="F5" s="11" t="s">
        <v>648</v>
      </c>
      <c r="G5" s="11" t="s">
        <v>642</v>
      </c>
      <c r="H5" s="13" t="s">
        <v>57</v>
      </c>
      <c r="I5" s="11" t="s">
        <v>649</v>
      </c>
    </row>
    <row r="6" customFormat="false" ht="35.05" hidden="false" customHeight="false" outlineLevel="0" collapsed="false">
      <c r="A6" s="11" t="n">
        <v>5</v>
      </c>
      <c r="B6" s="10" t="s">
        <v>434</v>
      </c>
      <c r="C6" s="11" t="s">
        <v>650</v>
      </c>
      <c r="D6" s="11" t="s">
        <v>651</v>
      </c>
      <c r="E6" s="15" t="s">
        <v>640</v>
      </c>
      <c r="F6" s="11" t="s">
        <v>652</v>
      </c>
      <c r="G6" s="11" t="s">
        <v>653</v>
      </c>
      <c r="H6" s="13" t="s">
        <v>57</v>
      </c>
      <c r="I6" s="11" t="s">
        <v>654</v>
      </c>
    </row>
    <row r="7" customFormat="false" ht="23.85" hidden="false" customHeight="false" outlineLevel="0" collapsed="false">
      <c r="A7" s="11" t="n">
        <v>6</v>
      </c>
      <c r="B7" s="10" t="s">
        <v>361</v>
      </c>
      <c r="C7" s="11" t="s">
        <v>655</v>
      </c>
      <c r="D7" s="11" t="s">
        <v>656</v>
      </c>
      <c r="E7" s="15" t="s">
        <v>640</v>
      </c>
      <c r="F7" s="11" t="s">
        <v>657</v>
      </c>
      <c r="G7" s="11" t="s">
        <v>658</v>
      </c>
      <c r="H7" s="13" t="s">
        <v>57</v>
      </c>
      <c r="I7" s="11" t="s">
        <v>659</v>
      </c>
    </row>
    <row r="8" customFormat="false" ht="15" hidden="false" customHeight="false" outlineLevel="0" collapsed="false">
      <c r="A8" s="11" t="n">
        <v>7</v>
      </c>
      <c r="B8" s="10" t="s">
        <v>361</v>
      </c>
      <c r="C8" s="11" t="s">
        <v>660</v>
      </c>
      <c r="D8" s="11" t="s">
        <v>651</v>
      </c>
      <c r="E8" s="15" t="s">
        <v>640</v>
      </c>
      <c r="F8" s="11" t="s">
        <v>661</v>
      </c>
      <c r="G8" s="11" t="s">
        <v>658</v>
      </c>
      <c r="H8" s="13" t="s">
        <v>57</v>
      </c>
      <c r="I8" s="11" t="s">
        <v>662</v>
      </c>
    </row>
    <row r="9" customFormat="false" ht="15" hidden="false" customHeight="false" outlineLevel="0" collapsed="false">
      <c r="A9" s="11" t="n">
        <v>8</v>
      </c>
      <c r="B9" s="10" t="s">
        <v>361</v>
      </c>
      <c r="C9" s="11" t="s">
        <v>663</v>
      </c>
      <c r="D9" s="11" t="s">
        <v>651</v>
      </c>
      <c r="E9" s="15" t="s">
        <v>640</v>
      </c>
      <c r="F9" s="11" t="s">
        <v>661</v>
      </c>
      <c r="G9" s="11" t="s">
        <v>658</v>
      </c>
      <c r="H9" s="13" t="s">
        <v>57</v>
      </c>
      <c r="I9" s="11" t="s">
        <v>664</v>
      </c>
    </row>
    <row r="10" customFormat="false" ht="23.85" hidden="false" customHeight="false" outlineLevel="0" collapsed="false">
      <c r="A10" s="11" t="n">
        <v>9</v>
      </c>
      <c r="B10" s="10" t="s">
        <v>665</v>
      </c>
      <c r="C10" s="11" t="s">
        <v>666</v>
      </c>
      <c r="D10" s="11" t="s">
        <v>667</v>
      </c>
      <c r="E10" s="15" t="s">
        <v>640</v>
      </c>
      <c r="F10" s="11" t="s">
        <v>668</v>
      </c>
      <c r="G10" s="11" t="s">
        <v>669</v>
      </c>
      <c r="H10" s="13" t="s">
        <v>57</v>
      </c>
      <c r="I10" s="11" t="s">
        <v>670</v>
      </c>
    </row>
    <row r="11" customFormat="false" ht="15" hidden="false" customHeight="false" outlineLevel="0" collapsed="false">
      <c r="A11" s="11" t="n">
        <v>10</v>
      </c>
      <c r="B11" s="10" t="s">
        <v>671</v>
      </c>
      <c r="C11" s="11" t="s">
        <v>672</v>
      </c>
      <c r="D11" s="11" t="s">
        <v>667</v>
      </c>
      <c r="E11" s="15" t="s">
        <v>640</v>
      </c>
      <c r="F11" s="11" t="s">
        <v>673</v>
      </c>
      <c r="G11" s="11" t="s">
        <v>674</v>
      </c>
      <c r="H11" s="13" t="s">
        <v>57</v>
      </c>
      <c r="I11" s="11" t="s">
        <v>675</v>
      </c>
    </row>
    <row r="13" customFormat="false" ht="15" hidden="false" customHeight="false" outlineLevel="0" collapsed="false">
      <c r="A13" s="21" t="s">
        <v>676</v>
      </c>
    </row>
    <row r="14" customFormat="false" ht="15" hidden="false" customHeight="false" outlineLevel="0" collapsed="false">
      <c r="A14" s="22" t="s">
        <v>32</v>
      </c>
      <c r="C14" s="22" t="s">
        <v>626</v>
      </c>
      <c r="D14" s="22" t="s">
        <v>677</v>
      </c>
      <c r="F14" s="22" t="s">
        <v>678</v>
      </c>
    </row>
    <row r="15" customFormat="false" ht="102.2" hidden="false" customHeight="false" outlineLevel="0" collapsed="false">
      <c r="A15" s="10" t="s">
        <v>679</v>
      </c>
      <c r="C15" s="11" t="s">
        <v>651</v>
      </c>
      <c r="D15" s="11" t="s">
        <v>680</v>
      </c>
      <c r="F15" s="15" t="s">
        <v>681</v>
      </c>
    </row>
    <row r="16" customFormat="false" ht="46.25" hidden="false" customHeight="false" outlineLevel="0" collapsed="false">
      <c r="A16" s="10" t="s">
        <v>682</v>
      </c>
      <c r="C16" s="11" t="s">
        <v>683</v>
      </c>
      <c r="D16" s="11" t="s">
        <v>684</v>
      </c>
      <c r="F16" s="18" t="s">
        <v>685</v>
      </c>
    </row>
    <row r="17" customFormat="false" ht="158.2" hidden="false" customHeight="false" outlineLevel="0" collapsed="false">
      <c r="A17" s="10" t="s">
        <v>686</v>
      </c>
      <c r="C17" s="11" t="s">
        <v>683</v>
      </c>
      <c r="D17" s="11" t="s">
        <v>683</v>
      </c>
      <c r="F17" s="18" t="s">
        <v>687</v>
      </c>
    </row>
    <row r="18" customFormat="false" ht="23.85" hidden="false" customHeight="false" outlineLevel="0" collapsed="false">
      <c r="A18" s="10" t="s">
        <v>688</v>
      </c>
      <c r="C18" s="11" t="s">
        <v>651</v>
      </c>
      <c r="D18" s="11" t="s">
        <v>683</v>
      </c>
      <c r="F18" s="18" t="s">
        <v>689</v>
      </c>
    </row>
    <row r="19" customFormat="false" ht="23.85" hidden="false" customHeight="false" outlineLevel="0" collapsed="false">
      <c r="A19" s="10" t="s">
        <v>690</v>
      </c>
      <c r="C19" s="11" t="s">
        <v>651</v>
      </c>
      <c r="D19" s="11" t="s">
        <v>683</v>
      </c>
      <c r="F19" s="18" t="s">
        <v>691</v>
      </c>
    </row>
    <row r="20" customFormat="false" ht="35.05" hidden="false" customHeight="false" outlineLevel="0" collapsed="false">
      <c r="A20" s="10" t="s">
        <v>692</v>
      </c>
      <c r="C20" s="11" t="s">
        <v>683</v>
      </c>
      <c r="D20" s="11" t="s">
        <v>683</v>
      </c>
      <c r="F20" s="18" t="s">
        <v>693</v>
      </c>
    </row>
    <row r="21" customFormat="false" ht="35.05" hidden="false" customHeight="false" outlineLevel="0" collapsed="false">
      <c r="A21" s="10" t="s">
        <v>694</v>
      </c>
      <c r="C21" s="11" t="s">
        <v>651</v>
      </c>
      <c r="D21" s="11" t="s">
        <v>695</v>
      </c>
      <c r="F21" s="18" t="s">
        <v>696</v>
      </c>
    </row>
    <row r="22" customFormat="false" ht="102.2" hidden="false" customHeight="false" outlineLevel="0" collapsed="false">
      <c r="A22" s="10" t="s">
        <v>697</v>
      </c>
      <c r="C22" s="11" t="s">
        <v>651</v>
      </c>
      <c r="D22" s="11" t="s">
        <v>698</v>
      </c>
      <c r="F22" s="18" t="s">
        <v>699</v>
      </c>
    </row>
    <row r="23" customFormat="false" ht="57.45" hidden="false" customHeight="false" outlineLevel="0" collapsed="false">
      <c r="A23" s="10" t="s">
        <v>700</v>
      </c>
      <c r="C23" s="11" t="s">
        <v>568</v>
      </c>
      <c r="D23" s="11" t="s">
        <v>701</v>
      </c>
      <c r="F23" s="15" t="s">
        <v>702</v>
      </c>
    </row>
    <row r="24" customFormat="false" ht="46.25" hidden="false" customHeight="false" outlineLevel="0" collapsed="false">
      <c r="A24" s="10" t="s">
        <v>703</v>
      </c>
      <c r="C24" s="11" t="s">
        <v>568</v>
      </c>
      <c r="D24" s="11" t="s">
        <v>704</v>
      </c>
      <c r="F24" s="15" t="s">
        <v>705</v>
      </c>
    </row>
    <row r="27" customFormat="false" ht="68.65" hidden="false" customHeight="false" outlineLevel="0" collapsed="false">
      <c r="A27" s="23" t="s">
        <v>706</v>
      </c>
      <c r="C27" s="3" t="s">
        <v>707</v>
      </c>
    </row>
    <row r="29" customFormat="false" ht="91" hidden="false" customHeight="false" outlineLevel="0" collapsed="false">
      <c r="A29" s="23" t="s">
        <v>708</v>
      </c>
      <c r="C29" s="3" t="s">
        <v>709</v>
      </c>
    </row>
    <row r="31" customFormat="false" ht="91" hidden="false" customHeight="false" outlineLevel="0" collapsed="false">
      <c r="A31" s="23" t="s">
        <v>710</v>
      </c>
      <c r="C31" s="3" t="s">
        <v>711</v>
      </c>
    </row>
    <row r="33" customFormat="false" ht="68.65" hidden="false" customHeight="false" outlineLevel="0" collapsed="false">
      <c r="A33" s="23" t="s">
        <v>712</v>
      </c>
      <c r="C33" s="3" t="s">
        <v>713</v>
      </c>
    </row>
    <row r="35" customFormat="false" ht="91" hidden="false" customHeight="false" outlineLevel="0" collapsed="false">
      <c r="A35" s="23" t="s">
        <v>714</v>
      </c>
      <c r="C35" s="3" t="s">
        <v>715</v>
      </c>
    </row>
    <row r="37" customFormat="false" ht="79.85" hidden="false" customHeight="false" outlineLevel="0" collapsed="false">
      <c r="A37" s="23" t="s">
        <v>716</v>
      </c>
      <c r="C37" s="3" t="s">
        <v>717</v>
      </c>
    </row>
    <row r="39" customFormat="false" ht="135.8" hidden="false" customHeight="false" outlineLevel="0" collapsed="false">
      <c r="A39" s="23" t="s">
        <v>718</v>
      </c>
      <c r="C39" s="3" t="s">
        <v>719</v>
      </c>
    </row>
  </sheetData>
  <hyperlinks>
    <hyperlink ref="H2" r:id="rId1" display="Apply"/>
    <hyperlink ref="H3" r:id="rId2" display="Apply"/>
    <hyperlink ref="H4" r:id="rId3" display="Apply"/>
    <hyperlink ref="H5" r:id="rId4" display="Apply"/>
    <hyperlink ref="H6" r:id="rId5" display="Apply"/>
    <hyperlink ref="H7" r:id="rId6" display="Apply"/>
    <hyperlink ref="H8" r:id="rId7" display="Apply"/>
    <hyperlink ref="H9" r:id="rId8" display="Apply"/>
    <hyperlink ref="H10" r:id="rId9" display="Apply"/>
    <hyperlink ref="H11" r:id="rId10" display="Appl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17"/>
    <col collapsed="false" customWidth="true" hidden="false" outlineLevel="0" max="7" min="7" style="1" width="26"/>
    <col collapsed="false" customWidth="true" hidden="false" outlineLevel="0" max="8" min="8" style="1" width="40"/>
    <col collapsed="false" customWidth="true" hidden="false" outlineLevel="0" max="9" min="9" style="1" width="90"/>
  </cols>
  <sheetData>
    <row r="1" customFormat="false" ht="30" hidden="false" customHeight="true" outlineLevel="0" collapsed="false">
      <c r="A1" s="8" t="s">
        <v>32</v>
      </c>
      <c r="B1" s="8" t="s">
        <v>720</v>
      </c>
      <c r="C1" s="8" t="s">
        <v>721</v>
      </c>
      <c r="D1" s="8" t="s">
        <v>722</v>
      </c>
      <c r="E1" s="8" t="s">
        <v>723</v>
      </c>
      <c r="F1" s="8" t="s">
        <v>724</v>
      </c>
      <c r="G1" s="8" t="s">
        <v>725</v>
      </c>
      <c r="H1" s="8" t="s">
        <v>38</v>
      </c>
      <c r="I1" s="8" t="s">
        <v>726</v>
      </c>
    </row>
    <row r="2" customFormat="false" ht="23.25" hidden="false" customHeight="true" outlineLevel="0" collapsed="false">
      <c r="A2" s="10" t="s">
        <v>553</v>
      </c>
      <c r="B2" s="11" t="s">
        <v>727</v>
      </c>
      <c r="C2" s="11" t="s">
        <v>728</v>
      </c>
      <c r="D2" s="11" t="s">
        <v>729</v>
      </c>
      <c r="E2" s="24" t="s">
        <v>730</v>
      </c>
      <c r="F2" s="13" t="s">
        <v>731</v>
      </c>
      <c r="G2" s="11" t="s">
        <v>732</v>
      </c>
      <c r="H2" s="25" t="s">
        <v>558</v>
      </c>
      <c r="I2" s="11" t="s">
        <v>733</v>
      </c>
    </row>
    <row r="3" customFormat="false" ht="23.25" hidden="false" customHeight="true" outlineLevel="0" collapsed="false">
      <c r="A3" s="10" t="s">
        <v>223</v>
      </c>
      <c r="B3" s="11" t="s">
        <v>50</v>
      </c>
      <c r="C3" s="11" t="s">
        <v>734</v>
      </c>
      <c r="D3" s="11" t="s">
        <v>729</v>
      </c>
      <c r="E3" s="24" t="s">
        <v>730</v>
      </c>
      <c r="F3" s="13" t="s">
        <v>731</v>
      </c>
      <c r="G3" s="11" t="s">
        <v>735</v>
      </c>
      <c r="H3" s="25" t="s">
        <v>736</v>
      </c>
      <c r="I3" s="11" t="s">
        <v>737</v>
      </c>
    </row>
    <row r="4" customFormat="false" ht="23.25" hidden="false" customHeight="true" outlineLevel="0" collapsed="false">
      <c r="A4" s="10" t="s">
        <v>48</v>
      </c>
      <c r="B4" s="11" t="s">
        <v>114</v>
      </c>
      <c r="C4" s="11" t="s">
        <v>738</v>
      </c>
      <c r="D4" s="11" t="s">
        <v>739</v>
      </c>
      <c r="E4" s="16" t="s">
        <v>739</v>
      </c>
      <c r="F4" s="13" t="s">
        <v>731</v>
      </c>
      <c r="G4" s="11" t="s">
        <v>740</v>
      </c>
      <c r="H4" s="25" t="s">
        <v>66</v>
      </c>
      <c r="I4" s="11" t="s">
        <v>741</v>
      </c>
    </row>
    <row r="5" customFormat="false" ht="23.25" hidden="false" customHeight="true" outlineLevel="0" collapsed="false">
      <c r="A5" s="10" t="s">
        <v>290</v>
      </c>
      <c r="B5" s="11" t="s">
        <v>742</v>
      </c>
      <c r="C5" s="11" t="s">
        <v>743</v>
      </c>
      <c r="D5" s="11" t="s">
        <v>739</v>
      </c>
      <c r="E5" s="24" t="s">
        <v>730</v>
      </c>
      <c r="F5" s="13" t="s">
        <v>731</v>
      </c>
      <c r="G5" s="11" t="s">
        <v>744</v>
      </c>
      <c r="H5" s="11" t="s">
        <v>86</v>
      </c>
      <c r="I5" s="11" t="s">
        <v>745</v>
      </c>
    </row>
    <row r="6" customFormat="false" ht="23.25" hidden="false" customHeight="true" outlineLevel="0" collapsed="false">
      <c r="A6" s="10" t="s">
        <v>462</v>
      </c>
      <c r="B6" s="11" t="s">
        <v>746</v>
      </c>
      <c r="C6" s="11" t="s">
        <v>747</v>
      </c>
      <c r="D6" s="11" t="s">
        <v>729</v>
      </c>
      <c r="E6" s="24" t="s">
        <v>730</v>
      </c>
      <c r="F6" s="13" t="s">
        <v>731</v>
      </c>
      <c r="G6" s="11" t="s">
        <v>748</v>
      </c>
      <c r="H6" s="25" t="s">
        <v>749</v>
      </c>
      <c r="I6" s="11" t="s">
        <v>750</v>
      </c>
    </row>
    <row r="7" customFormat="false" ht="15" hidden="false" customHeight="true" outlineLevel="0" collapsed="false">
      <c r="A7" s="10" t="s">
        <v>398</v>
      </c>
      <c r="B7" s="11" t="s">
        <v>751</v>
      </c>
      <c r="C7" s="11" t="s">
        <v>752</v>
      </c>
      <c r="D7" s="11" t="s">
        <v>739</v>
      </c>
      <c r="E7" s="16" t="s">
        <v>739</v>
      </c>
      <c r="F7" s="13" t="s">
        <v>731</v>
      </c>
      <c r="G7" s="11" t="s">
        <v>402</v>
      </c>
      <c r="H7" s="11" t="s">
        <v>753</v>
      </c>
      <c r="I7" s="11" t="s">
        <v>754</v>
      </c>
    </row>
    <row r="8" customFormat="false" ht="15" hidden="false" customHeight="true" outlineLevel="0" collapsed="false">
      <c r="A8" s="10" t="s">
        <v>596</v>
      </c>
      <c r="B8" s="11" t="s">
        <v>114</v>
      </c>
      <c r="C8" s="11" t="s">
        <v>755</v>
      </c>
      <c r="D8" s="11" t="s">
        <v>729</v>
      </c>
      <c r="E8" s="16" t="s">
        <v>739</v>
      </c>
      <c r="F8" s="13" t="s">
        <v>731</v>
      </c>
      <c r="G8" s="11" t="s">
        <v>517</v>
      </c>
      <c r="H8" s="11" t="s">
        <v>86</v>
      </c>
      <c r="I8" s="11" t="s">
        <v>756</v>
      </c>
    </row>
    <row r="9" customFormat="false" ht="15" hidden="false" customHeight="true" outlineLevel="0" collapsed="false">
      <c r="A9" s="10" t="s">
        <v>130</v>
      </c>
      <c r="B9" s="11" t="s">
        <v>114</v>
      </c>
      <c r="C9" s="11" t="s">
        <v>738</v>
      </c>
      <c r="D9" s="11" t="s">
        <v>739</v>
      </c>
      <c r="E9" s="16" t="s">
        <v>739</v>
      </c>
      <c r="F9" s="13" t="s">
        <v>731</v>
      </c>
      <c r="G9" s="11" t="s">
        <v>135</v>
      </c>
      <c r="H9" s="11" t="s">
        <v>757</v>
      </c>
      <c r="I9" s="11" t="s">
        <v>758</v>
      </c>
    </row>
    <row r="10" customFormat="false" ht="15" hidden="false" customHeight="true" outlineLevel="0" collapsed="false">
      <c r="A10" s="10" t="s">
        <v>169</v>
      </c>
      <c r="B10" s="11" t="s">
        <v>759</v>
      </c>
      <c r="C10" s="11" t="s">
        <v>760</v>
      </c>
      <c r="D10" s="11" t="s">
        <v>739</v>
      </c>
      <c r="E10" s="16" t="s">
        <v>739</v>
      </c>
      <c r="F10" s="13" t="s">
        <v>731</v>
      </c>
      <c r="G10" s="11" t="s">
        <v>761</v>
      </c>
      <c r="H10" s="11" t="s">
        <v>86</v>
      </c>
      <c r="I10" s="11" t="s">
        <v>762</v>
      </c>
    </row>
    <row r="11" customFormat="false" ht="15" hidden="false" customHeight="true" outlineLevel="0" collapsed="false">
      <c r="A11" s="10" t="s">
        <v>607</v>
      </c>
      <c r="B11" s="11" t="s">
        <v>50</v>
      </c>
      <c r="C11" s="11" t="s">
        <v>763</v>
      </c>
      <c r="D11" s="11" t="s">
        <v>739</v>
      </c>
      <c r="E11" s="16" t="s">
        <v>739</v>
      </c>
      <c r="F11" s="13" t="s">
        <v>731</v>
      </c>
      <c r="G11" s="11" t="s">
        <v>611</v>
      </c>
      <c r="H11" s="11" t="s">
        <v>86</v>
      </c>
      <c r="I11" s="11" t="s">
        <v>764</v>
      </c>
    </row>
    <row r="12" customFormat="false" ht="15" hidden="false" customHeight="true" outlineLevel="0" collapsed="false">
      <c r="A12" s="10" t="s">
        <v>199</v>
      </c>
      <c r="B12" s="11" t="s">
        <v>765</v>
      </c>
      <c r="C12" s="11" t="s">
        <v>766</v>
      </c>
      <c r="D12" s="11" t="s">
        <v>739</v>
      </c>
      <c r="E12" s="16" t="s">
        <v>739</v>
      </c>
      <c r="F12" s="13" t="s">
        <v>731</v>
      </c>
      <c r="G12" s="11" t="s">
        <v>206</v>
      </c>
      <c r="H12" s="11" t="s">
        <v>767</v>
      </c>
      <c r="I12" s="11" t="s">
        <v>768</v>
      </c>
    </row>
    <row r="13" customFormat="false" ht="15" hidden="false" customHeight="true" outlineLevel="0" collapsed="false">
      <c r="A13" s="10" t="s">
        <v>434</v>
      </c>
      <c r="B13" s="11" t="s">
        <v>769</v>
      </c>
      <c r="C13" s="11" t="s">
        <v>770</v>
      </c>
      <c r="D13" s="11" t="s">
        <v>729</v>
      </c>
      <c r="E13" s="16" t="s">
        <v>739</v>
      </c>
      <c r="F13" s="13" t="s">
        <v>731</v>
      </c>
      <c r="G13" s="11" t="s">
        <v>771</v>
      </c>
      <c r="H13" s="25" t="s">
        <v>772</v>
      </c>
      <c r="I13" s="11" t="s">
        <v>773</v>
      </c>
    </row>
    <row r="14" customFormat="false" ht="15" hidden="false" customHeight="true" outlineLevel="0" collapsed="false">
      <c r="A14" s="10" t="s">
        <v>212</v>
      </c>
      <c r="B14" s="11" t="s">
        <v>114</v>
      </c>
      <c r="C14" s="11" t="s">
        <v>774</v>
      </c>
      <c r="D14" s="11" t="s">
        <v>729</v>
      </c>
      <c r="E14" s="16" t="s">
        <v>739</v>
      </c>
      <c r="F14" s="13" t="s">
        <v>731</v>
      </c>
      <c r="G14" s="11" t="s">
        <v>775</v>
      </c>
      <c r="H14" s="11" t="s">
        <v>86</v>
      </c>
      <c r="I14" s="11" t="s">
        <v>776</v>
      </c>
    </row>
    <row r="15" customFormat="false" ht="23.25" hidden="false" customHeight="true" outlineLevel="0" collapsed="false">
      <c r="A15" s="10" t="s">
        <v>368</v>
      </c>
      <c r="B15" s="11" t="s">
        <v>50</v>
      </c>
      <c r="C15" s="11" t="s">
        <v>777</v>
      </c>
      <c r="D15" s="11" t="s">
        <v>739</v>
      </c>
      <c r="E15" s="16" t="s">
        <v>739</v>
      </c>
      <c r="F15" s="13" t="s">
        <v>731</v>
      </c>
      <c r="G15" s="11" t="s">
        <v>778</v>
      </c>
      <c r="H15" s="25" t="s">
        <v>779</v>
      </c>
      <c r="I15" s="11" t="s">
        <v>780</v>
      </c>
    </row>
    <row r="16" customFormat="false" ht="15" hidden="false" customHeight="true" outlineLevel="0" collapsed="false">
      <c r="A16" s="10" t="s">
        <v>150</v>
      </c>
      <c r="B16" s="11" t="s">
        <v>781</v>
      </c>
      <c r="C16" s="11" t="s">
        <v>782</v>
      </c>
      <c r="D16" s="11" t="s">
        <v>729</v>
      </c>
      <c r="E16" s="16" t="s">
        <v>739</v>
      </c>
      <c r="F16" s="13" t="s">
        <v>731</v>
      </c>
      <c r="G16" s="11" t="s">
        <v>783</v>
      </c>
      <c r="H16" s="11" t="s">
        <v>154</v>
      </c>
      <c r="I16" s="11" t="s">
        <v>784</v>
      </c>
    </row>
    <row r="17" customFormat="false" ht="15" hidden="false" customHeight="true" outlineLevel="0" collapsed="false">
      <c r="A17" s="10" t="s">
        <v>102</v>
      </c>
      <c r="B17" s="11" t="s">
        <v>785</v>
      </c>
      <c r="C17" s="11" t="s">
        <v>760</v>
      </c>
      <c r="D17" s="11" t="s">
        <v>739</v>
      </c>
      <c r="E17" s="16" t="s">
        <v>739</v>
      </c>
      <c r="F17" s="13" t="s">
        <v>731</v>
      </c>
      <c r="G17" s="11" t="s">
        <v>786</v>
      </c>
      <c r="H17" s="11" t="s">
        <v>86</v>
      </c>
      <c r="I17" s="11" t="s">
        <v>787</v>
      </c>
    </row>
    <row r="18" customFormat="false" ht="15" hidden="false" customHeight="true" outlineLevel="0" collapsed="false">
      <c r="A18" s="10" t="s">
        <v>80</v>
      </c>
      <c r="B18" s="11" t="s">
        <v>785</v>
      </c>
      <c r="C18" s="11" t="s">
        <v>760</v>
      </c>
      <c r="D18" s="11" t="s">
        <v>739</v>
      </c>
      <c r="E18" s="16" t="s">
        <v>739</v>
      </c>
      <c r="F18" s="13" t="s">
        <v>731</v>
      </c>
      <c r="G18" s="11" t="s">
        <v>88</v>
      </c>
      <c r="H18" s="11" t="s">
        <v>86</v>
      </c>
      <c r="I18" s="11" t="s">
        <v>788</v>
      </c>
    </row>
    <row r="19" customFormat="false" ht="15" hidden="false" customHeight="true" outlineLevel="0" collapsed="false">
      <c r="A19" s="10" t="s">
        <v>122</v>
      </c>
      <c r="B19" s="11" t="s">
        <v>785</v>
      </c>
      <c r="C19" s="11" t="s">
        <v>760</v>
      </c>
      <c r="D19" s="11" t="s">
        <v>739</v>
      </c>
      <c r="E19" s="16" t="s">
        <v>739</v>
      </c>
      <c r="F19" s="13" t="s">
        <v>731</v>
      </c>
      <c r="G19" s="11" t="s">
        <v>125</v>
      </c>
      <c r="H19" s="11" t="s">
        <v>86</v>
      </c>
      <c r="I19" s="11" t="s">
        <v>789</v>
      </c>
    </row>
    <row r="20" customFormat="false" ht="15" hidden="false" customHeight="true" outlineLevel="0" collapsed="false">
      <c r="A20" s="10" t="s">
        <v>145</v>
      </c>
      <c r="B20" s="11" t="s">
        <v>114</v>
      </c>
      <c r="C20" s="11" t="s">
        <v>760</v>
      </c>
      <c r="D20" s="11" t="s">
        <v>739</v>
      </c>
      <c r="E20" s="16" t="s">
        <v>739</v>
      </c>
      <c r="F20" s="13" t="s">
        <v>731</v>
      </c>
      <c r="G20" s="11" t="s">
        <v>148</v>
      </c>
      <c r="H20" s="11" t="s">
        <v>86</v>
      </c>
      <c r="I20" s="11" t="s">
        <v>790</v>
      </c>
    </row>
    <row r="21" customFormat="false" ht="15" hidden="false" customHeight="true" outlineLevel="0" collapsed="false">
      <c r="A21" s="10" t="s">
        <v>283</v>
      </c>
      <c r="B21" s="11" t="s">
        <v>791</v>
      </c>
      <c r="C21" s="11" t="s">
        <v>760</v>
      </c>
      <c r="D21" s="11" t="s">
        <v>739</v>
      </c>
      <c r="E21" s="16" t="s">
        <v>739</v>
      </c>
      <c r="F21" s="13" t="s">
        <v>731</v>
      </c>
      <c r="G21" s="11" t="s">
        <v>286</v>
      </c>
      <c r="H21" s="11" t="s">
        <v>86</v>
      </c>
      <c r="I21" s="11" t="s">
        <v>792</v>
      </c>
    </row>
    <row r="22" customFormat="false" ht="23.25" hidden="false" customHeight="true" outlineLevel="0" collapsed="false">
      <c r="A22" s="10" t="s">
        <v>331</v>
      </c>
      <c r="B22" s="11" t="s">
        <v>759</v>
      </c>
      <c r="C22" s="11" t="s">
        <v>760</v>
      </c>
      <c r="D22" s="11" t="s">
        <v>729</v>
      </c>
      <c r="E22" s="16" t="s">
        <v>739</v>
      </c>
      <c r="F22" s="13" t="s">
        <v>731</v>
      </c>
      <c r="G22" s="11" t="s">
        <v>793</v>
      </c>
      <c r="H22" s="11" t="s">
        <v>86</v>
      </c>
      <c r="I22" s="11" t="s">
        <v>794</v>
      </c>
    </row>
    <row r="23" customFormat="false" ht="23.25" hidden="false" customHeight="true" outlineLevel="0" collapsed="false">
      <c r="A23" s="10" t="s">
        <v>338</v>
      </c>
      <c r="B23" s="11" t="s">
        <v>50</v>
      </c>
      <c r="C23" s="11" t="s">
        <v>760</v>
      </c>
      <c r="D23" s="11" t="s">
        <v>683</v>
      </c>
      <c r="E23" s="16" t="s">
        <v>739</v>
      </c>
      <c r="F23" s="13" t="s">
        <v>731</v>
      </c>
      <c r="G23" s="11" t="s">
        <v>795</v>
      </c>
      <c r="H23" s="11" t="s">
        <v>86</v>
      </c>
      <c r="I23" s="11" t="s">
        <v>796</v>
      </c>
    </row>
    <row r="24" customFormat="false" ht="23.25" hidden="false" customHeight="true" outlineLevel="0" collapsed="false">
      <c r="A24" s="10" t="s">
        <v>266</v>
      </c>
      <c r="B24" s="11" t="s">
        <v>114</v>
      </c>
      <c r="C24" s="11" t="s">
        <v>760</v>
      </c>
      <c r="D24" s="11" t="s">
        <v>739</v>
      </c>
      <c r="E24" s="16" t="s">
        <v>739</v>
      </c>
      <c r="F24" s="13" t="s">
        <v>731</v>
      </c>
      <c r="G24" s="11" t="s">
        <v>797</v>
      </c>
      <c r="H24" s="11" t="s">
        <v>798</v>
      </c>
      <c r="I24" s="11" t="s">
        <v>799</v>
      </c>
    </row>
    <row r="25" customFormat="false" ht="23.25" hidden="false" customHeight="true" outlineLevel="0" collapsed="false">
      <c r="A25" s="10" t="s">
        <v>189</v>
      </c>
      <c r="B25" s="11" t="s">
        <v>791</v>
      </c>
      <c r="C25" s="11" t="s">
        <v>800</v>
      </c>
      <c r="D25" s="11" t="s">
        <v>739</v>
      </c>
      <c r="E25" s="26" t="s">
        <v>801</v>
      </c>
      <c r="F25" s="13" t="s">
        <v>731</v>
      </c>
      <c r="G25" s="11" t="s">
        <v>802</v>
      </c>
      <c r="H25" s="11" t="s">
        <v>86</v>
      </c>
      <c r="I25" s="11" t="s">
        <v>803</v>
      </c>
    </row>
    <row r="26" customFormat="false" ht="15" hidden="false" customHeight="true" outlineLevel="0" collapsed="false">
      <c r="A26" s="10" t="s">
        <v>344</v>
      </c>
      <c r="B26" s="11" t="s">
        <v>114</v>
      </c>
      <c r="C26" s="11" t="s">
        <v>738</v>
      </c>
      <c r="D26" s="11" t="s">
        <v>739</v>
      </c>
      <c r="E26" s="26" t="s">
        <v>801</v>
      </c>
      <c r="F26" s="13" t="s">
        <v>731</v>
      </c>
      <c r="G26" s="11" t="s">
        <v>804</v>
      </c>
      <c r="H26" s="11" t="s">
        <v>86</v>
      </c>
      <c r="I26" s="11" t="s">
        <v>805</v>
      </c>
    </row>
    <row r="27" customFormat="false" ht="15" hidden="false" customHeight="true" outlineLevel="0" collapsed="false">
      <c r="A27" s="10" t="s">
        <v>308</v>
      </c>
      <c r="B27" s="11" t="s">
        <v>806</v>
      </c>
      <c r="C27" s="11" t="s">
        <v>807</v>
      </c>
      <c r="D27" s="11" t="s">
        <v>739</v>
      </c>
      <c r="E27" s="26" t="s">
        <v>801</v>
      </c>
      <c r="F27" s="13" t="s">
        <v>731</v>
      </c>
      <c r="G27" s="11" t="s">
        <v>206</v>
      </c>
      <c r="H27" s="11" t="s">
        <v>86</v>
      </c>
      <c r="I27" s="11" t="s">
        <v>808</v>
      </c>
    </row>
    <row r="28" customFormat="false" ht="15" hidden="false" customHeight="true" outlineLevel="0" collapsed="false">
      <c r="A28" s="10" t="s">
        <v>316</v>
      </c>
      <c r="B28" s="11" t="s">
        <v>114</v>
      </c>
      <c r="C28" s="11" t="s">
        <v>809</v>
      </c>
      <c r="D28" s="11" t="s">
        <v>739</v>
      </c>
      <c r="E28" s="26" t="s">
        <v>801</v>
      </c>
      <c r="F28" s="13" t="s">
        <v>731</v>
      </c>
      <c r="G28" s="11" t="s">
        <v>810</v>
      </c>
      <c r="H28" s="11" t="s">
        <v>320</v>
      </c>
      <c r="I28" s="11" t="s">
        <v>811</v>
      </c>
    </row>
    <row r="29" customFormat="false" ht="15" hidden="false" customHeight="true" outlineLevel="0" collapsed="false">
      <c r="A29" s="10" t="s">
        <v>584</v>
      </c>
      <c r="B29" s="11" t="s">
        <v>791</v>
      </c>
      <c r="C29" s="11" t="s">
        <v>809</v>
      </c>
      <c r="D29" s="11" t="s">
        <v>729</v>
      </c>
      <c r="E29" s="26" t="s">
        <v>801</v>
      </c>
      <c r="F29" s="13" t="s">
        <v>731</v>
      </c>
      <c r="G29" s="11" t="s">
        <v>812</v>
      </c>
      <c r="H29" s="11" t="s">
        <v>813</v>
      </c>
      <c r="I29" s="11" t="s">
        <v>814</v>
      </c>
    </row>
    <row r="30" customFormat="false" ht="23.25" hidden="false" customHeight="true" outlineLevel="0" collapsed="false">
      <c r="A30" s="10" t="s">
        <v>249</v>
      </c>
      <c r="B30" s="11" t="s">
        <v>815</v>
      </c>
      <c r="C30" s="11" t="s">
        <v>816</v>
      </c>
      <c r="D30" s="11" t="s">
        <v>739</v>
      </c>
      <c r="E30" s="26" t="s">
        <v>801</v>
      </c>
      <c r="F30" s="13" t="s">
        <v>731</v>
      </c>
      <c r="G30" s="11" t="s">
        <v>99</v>
      </c>
      <c r="H30" s="11" t="s">
        <v>86</v>
      </c>
      <c r="I30" s="11" t="s">
        <v>817</v>
      </c>
    </row>
    <row r="31" customFormat="false" ht="15" hidden="false" customHeight="true" outlineLevel="0" collapsed="false">
      <c r="A31" s="10" t="s">
        <v>274</v>
      </c>
      <c r="B31" s="11" t="s">
        <v>818</v>
      </c>
      <c r="C31" s="11" t="s">
        <v>809</v>
      </c>
      <c r="D31" s="11" t="s">
        <v>739</v>
      </c>
      <c r="E31" s="26" t="s">
        <v>801</v>
      </c>
      <c r="F31" s="13" t="s">
        <v>731</v>
      </c>
      <c r="G31" s="11" t="s">
        <v>819</v>
      </c>
      <c r="H31" s="11" t="s">
        <v>86</v>
      </c>
      <c r="I31" s="11" t="s">
        <v>820</v>
      </c>
    </row>
    <row r="32" customFormat="false" ht="15" hidden="false" customHeight="true" outlineLevel="0" collapsed="false">
      <c r="A32" s="10" t="s">
        <v>93</v>
      </c>
      <c r="B32" s="11" t="s">
        <v>114</v>
      </c>
      <c r="C32" s="11" t="s">
        <v>738</v>
      </c>
      <c r="D32" s="11" t="s">
        <v>739</v>
      </c>
      <c r="E32" s="26" t="s">
        <v>729</v>
      </c>
      <c r="F32" s="13" t="s">
        <v>731</v>
      </c>
      <c r="G32" s="11" t="s">
        <v>99</v>
      </c>
      <c r="H32" s="11" t="s">
        <v>86</v>
      </c>
      <c r="I32" s="11" t="s">
        <v>821</v>
      </c>
    </row>
    <row r="33" customFormat="false" ht="23.25" hidden="false" customHeight="true" outlineLevel="0" collapsed="false">
      <c r="A33" s="10" t="s">
        <v>159</v>
      </c>
      <c r="B33" s="11" t="s">
        <v>822</v>
      </c>
      <c r="C33" s="11" t="s">
        <v>823</v>
      </c>
      <c r="D33" s="11" t="s">
        <v>739</v>
      </c>
      <c r="E33" s="26" t="s">
        <v>729</v>
      </c>
      <c r="F33" s="13" t="s">
        <v>731</v>
      </c>
      <c r="G33" s="11" t="s">
        <v>165</v>
      </c>
      <c r="H33" s="11" t="s">
        <v>824</v>
      </c>
      <c r="I33" s="11" t="s">
        <v>825</v>
      </c>
    </row>
    <row r="34" customFormat="false" ht="15" hidden="false" customHeight="true" outlineLevel="0" collapsed="false">
      <c r="A34" s="10" t="s">
        <v>417</v>
      </c>
      <c r="B34" s="11" t="s">
        <v>826</v>
      </c>
      <c r="C34" s="11" t="s">
        <v>827</v>
      </c>
      <c r="D34" s="11" t="s">
        <v>729</v>
      </c>
      <c r="E34" s="26" t="s">
        <v>801</v>
      </c>
      <c r="F34" s="13" t="s">
        <v>731</v>
      </c>
      <c r="G34" s="11" t="s">
        <v>828</v>
      </c>
      <c r="H34" s="25" t="s">
        <v>829</v>
      </c>
      <c r="I34" s="11" t="s">
        <v>830</v>
      </c>
    </row>
    <row r="35" customFormat="false" ht="15" hidden="false" customHeight="true" outlineLevel="0" collapsed="false">
      <c r="A35" s="10" t="s">
        <v>446</v>
      </c>
      <c r="B35" s="11" t="s">
        <v>831</v>
      </c>
      <c r="C35" s="11" t="s">
        <v>832</v>
      </c>
      <c r="D35" s="11" t="s">
        <v>729</v>
      </c>
      <c r="E35" s="26" t="s">
        <v>801</v>
      </c>
      <c r="F35" s="13" t="s">
        <v>731</v>
      </c>
      <c r="G35" s="11" t="s">
        <v>833</v>
      </c>
      <c r="H35" s="25" t="s">
        <v>834</v>
      </c>
      <c r="I35" s="11" t="s">
        <v>835</v>
      </c>
    </row>
    <row r="36" customFormat="false" ht="15" hidden="false" customHeight="true" outlineLevel="0" collapsed="false">
      <c r="A36" s="10" t="s">
        <v>519</v>
      </c>
      <c r="B36" s="11" t="s">
        <v>836</v>
      </c>
      <c r="C36" s="11" t="s">
        <v>837</v>
      </c>
      <c r="D36" s="11" t="s">
        <v>739</v>
      </c>
      <c r="E36" s="26" t="s">
        <v>801</v>
      </c>
      <c r="F36" s="13" t="s">
        <v>731</v>
      </c>
      <c r="G36" s="11" t="s">
        <v>526</v>
      </c>
      <c r="H36" s="25" t="s">
        <v>838</v>
      </c>
      <c r="I36" s="11" t="s">
        <v>839</v>
      </c>
    </row>
    <row r="37" customFormat="false" ht="15" hidden="false" customHeight="true" outlineLevel="0" collapsed="false">
      <c r="A37" s="10" t="s">
        <v>548</v>
      </c>
      <c r="B37" s="11" t="s">
        <v>840</v>
      </c>
      <c r="C37" s="11" t="s">
        <v>841</v>
      </c>
      <c r="D37" s="11" t="s">
        <v>729</v>
      </c>
      <c r="E37" s="26" t="s">
        <v>729</v>
      </c>
      <c r="F37" s="13" t="s">
        <v>731</v>
      </c>
      <c r="G37" s="11" t="s">
        <v>842</v>
      </c>
      <c r="H37" s="11" t="s">
        <v>86</v>
      </c>
      <c r="I37" s="11" t="s">
        <v>843</v>
      </c>
    </row>
    <row r="38" customFormat="false" ht="15" hidden="false" customHeight="true" outlineLevel="0" collapsed="false">
      <c r="A38" s="10" t="s">
        <v>352</v>
      </c>
      <c r="B38" s="11" t="s">
        <v>844</v>
      </c>
      <c r="C38" s="11" t="s">
        <v>728</v>
      </c>
      <c r="D38" s="11" t="s">
        <v>729</v>
      </c>
      <c r="E38" s="26" t="s">
        <v>729</v>
      </c>
      <c r="F38" s="13" t="s">
        <v>731</v>
      </c>
      <c r="G38" s="11" t="s">
        <v>845</v>
      </c>
      <c r="H38" s="11" t="s">
        <v>846</v>
      </c>
      <c r="I38" s="11" t="s">
        <v>847</v>
      </c>
    </row>
    <row r="39" customFormat="false" ht="15" hidden="false" customHeight="true" outlineLevel="0" collapsed="false">
      <c r="A39" s="10" t="s">
        <v>453</v>
      </c>
      <c r="B39" s="11" t="s">
        <v>848</v>
      </c>
      <c r="C39" s="11" t="s">
        <v>849</v>
      </c>
      <c r="D39" s="11" t="s">
        <v>729</v>
      </c>
      <c r="E39" s="26" t="s">
        <v>801</v>
      </c>
      <c r="F39" s="13" t="s">
        <v>731</v>
      </c>
      <c r="G39" s="11" t="s">
        <v>850</v>
      </c>
      <c r="H39" s="25" t="s">
        <v>460</v>
      </c>
      <c r="I39" s="11" t="s">
        <v>851</v>
      </c>
    </row>
    <row r="40" customFormat="false" ht="15" hidden="false" customHeight="true" outlineLevel="0" collapsed="false">
      <c r="A40" s="10" t="s">
        <v>426</v>
      </c>
      <c r="B40" s="11" t="s">
        <v>114</v>
      </c>
      <c r="C40" s="11" t="s">
        <v>777</v>
      </c>
      <c r="D40" s="11" t="s">
        <v>729</v>
      </c>
      <c r="E40" s="26" t="s">
        <v>729</v>
      </c>
      <c r="F40" s="13" t="s">
        <v>731</v>
      </c>
      <c r="G40" s="11" t="s">
        <v>429</v>
      </c>
      <c r="H40" s="11" t="s">
        <v>86</v>
      </c>
      <c r="I40" s="11" t="s">
        <v>852</v>
      </c>
    </row>
    <row r="41" customFormat="false" ht="15" hidden="false" customHeight="true" outlineLevel="0" collapsed="false">
      <c r="A41" s="10" t="s">
        <v>390</v>
      </c>
      <c r="B41" s="11" t="s">
        <v>114</v>
      </c>
      <c r="C41" s="11" t="s">
        <v>853</v>
      </c>
      <c r="D41" s="11" t="s">
        <v>729</v>
      </c>
      <c r="E41" s="26" t="s">
        <v>729</v>
      </c>
      <c r="F41" s="13" t="s">
        <v>731</v>
      </c>
      <c r="G41" s="11" t="s">
        <v>373</v>
      </c>
      <c r="H41" s="11" t="s">
        <v>86</v>
      </c>
      <c r="I41" s="11" t="s">
        <v>854</v>
      </c>
    </row>
    <row r="42" customFormat="false" ht="15" hidden="false" customHeight="true" outlineLevel="0" collapsed="false">
      <c r="A42" s="10" t="s">
        <v>855</v>
      </c>
      <c r="B42" s="11" t="s">
        <v>840</v>
      </c>
      <c r="C42" s="11" t="s">
        <v>760</v>
      </c>
      <c r="D42" s="11" t="s">
        <v>739</v>
      </c>
      <c r="E42" s="26" t="s">
        <v>729</v>
      </c>
      <c r="F42" s="13" t="s">
        <v>731</v>
      </c>
      <c r="G42" s="11" t="s">
        <v>573</v>
      </c>
      <c r="H42" s="11" t="s">
        <v>86</v>
      </c>
      <c r="I42" s="11" t="s">
        <v>856</v>
      </c>
    </row>
    <row r="43" customFormat="false" ht="15" hidden="false" customHeight="true" outlineLevel="0" collapsed="false">
      <c r="A43" s="10" t="s">
        <v>441</v>
      </c>
      <c r="B43" s="11" t="s">
        <v>857</v>
      </c>
      <c r="C43" s="11" t="s">
        <v>777</v>
      </c>
      <c r="D43" s="11" t="s">
        <v>729</v>
      </c>
      <c r="E43" s="26" t="s">
        <v>729</v>
      </c>
      <c r="F43" s="13" t="s">
        <v>731</v>
      </c>
      <c r="G43" s="11" t="s">
        <v>858</v>
      </c>
      <c r="H43" s="11" t="s">
        <v>86</v>
      </c>
      <c r="I43" s="11" t="s">
        <v>859</v>
      </c>
    </row>
    <row r="44" customFormat="false" ht="15" hidden="false" customHeight="true" outlineLevel="0" collapsed="false">
      <c r="A44" s="10" t="s">
        <v>542</v>
      </c>
      <c r="B44" s="11" t="s">
        <v>791</v>
      </c>
      <c r="C44" s="11" t="s">
        <v>860</v>
      </c>
      <c r="D44" s="11" t="s">
        <v>729</v>
      </c>
      <c r="E44" s="26" t="s">
        <v>729</v>
      </c>
      <c r="F44" s="13" t="s">
        <v>731</v>
      </c>
      <c r="G44" s="11" t="s">
        <v>58</v>
      </c>
      <c r="H44" s="11" t="s">
        <v>546</v>
      </c>
      <c r="I44" s="11" t="s">
        <v>799</v>
      </c>
    </row>
    <row r="45" customFormat="false" ht="15" hidden="false" customHeight="true" outlineLevel="0" collapsed="false">
      <c r="A45" s="10" t="s">
        <v>575</v>
      </c>
      <c r="B45" s="11" t="s">
        <v>861</v>
      </c>
      <c r="C45" s="11" t="s">
        <v>766</v>
      </c>
      <c r="D45" s="11" t="s">
        <v>739</v>
      </c>
      <c r="E45" s="26" t="s">
        <v>729</v>
      </c>
      <c r="F45" s="13" t="s">
        <v>731</v>
      </c>
      <c r="G45" s="11" t="s">
        <v>206</v>
      </c>
      <c r="H45" s="11" t="s">
        <v>862</v>
      </c>
      <c r="I45" s="11" t="s">
        <v>863</v>
      </c>
    </row>
    <row r="46" customFormat="false" ht="15" hidden="false" customHeight="true" outlineLevel="0" collapsed="false">
      <c r="A46" s="10" t="s">
        <v>503</v>
      </c>
      <c r="B46" s="11" t="s">
        <v>114</v>
      </c>
      <c r="C46" s="11" t="s">
        <v>864</v>
      </c>
      <c r="D46" s="11" t="s">
        <v>729</v>
      </c>
      <c r="E46" s="26" t="s">
        <v>729</v>
      </c>
      <c r="F46" s="13" t="s">
        <v>731</v>
      </c>
      <c r="G46" s="11" t="s">
        <v>206</v>
      </c>
      <c r="H46" s="11" t="s">
        <v>865</v>
      </c>
      <c r="I46" s="11" t="s">
        <v>866</v>
      </c>
    </row>
    <row r="47" customFormat="false" ht="23.25" hidden="false" customHeight="true" outlineLevel="0" collapsed="false">
      <c r="A47" s="10" t="s">
        <v>529</v>
      </c>
      <c r="B47" s="11" t="s">
        <v>569</v>
      </c>
      <c r="C47" s="11" t="s">
        <v>837</v>
      </c>
      <c r="D47" s="11" t="s">
        <v>739</v>
      </c>
      <c r="E47" s="27" t="s">
        <v>867</v>
      </c>
      <c r="F47" s="13" t="s">
        <v>731</v>
      </c>
      <c r="G47" s="11" t="s">
        <v>206</v>
      </c>
      <c r="H47" s="11" t="s">
        <v>868</v>
      </c>
      <c r="I47" s="11" t="s">
        <v>869</v>
      </c>
    </row>
    <row r="48" customFormat="false" ht="15" hidden="false" customHeight="true" outlineLevel="0" collapsed="false">
      <c r="A48" s="10" t="s">
        <v>537</v>
      </c>
      <c r="B48" s="11" t="s">
        <v>870</v>
      </c>
      <c r="C48" s="11" t="s">
        <v>837</v>
      </c>
      <c r="D48" s="11" t="s">
        <v>739</v>
      </c>
      <c r="E48" s="27" t="s">
        <v>867</v>
      </c>
      <c r="F48" s="13" t="s">
        <v>731</v>
      </c>
      <c r="G48" s="11" t="s">
        <v>206</v>
      </c>
      <c r="H48" s="11" t="s">
        <v>871</v>
      </c>
      <c r="I48" s="11" t="s">
        <v>872</v>
      </c>
    </row>
    <row r="49" customFormat="false" ht="15" hidden="false" customHeight="true" outlineLevel="0" collapsed="false">
      <c r="A49" s="10" t="s">
        <v>566</v>
      </c>
      <c r="B49" s="11" t="s">
        <v>569</v>
      </c>
      <c r="C49" s="11" t="s">
        <v>766</v>
      </c>
      <c r="D49" s="11" t="s">
        <v>729</v>
      </c>
      <c r="E49" s="27" t="s">
        <v>867</v>
      </c>
      <c r="F49" s="13" t="s">
        <v>731</v>
      </c>
      <c r="G49" s="11" t="s">
        <v>206</v>
      </c>
      <c r="H49" s="11" t="s">
        <v>86</v>
      </c>
      <c r="I49" s="11" t="s">
        <v>873</v>
      </c>
    </row>
    <row r="50" customFormat="false" ht="15" hidden="false" customHeight="true" outlineLevel="0" collapsed="false">
      <c r="A50" s="10" t="s">
        <v>874</v>
      </c>
      <c r="B50" s="11" t="s">
        <v>569</v>
      </c>
      <c r="C50" s="11" t="s">
        <v>809</v>
      </c>
      <c r="D50" s="11" t="s">
        <v>729</v>
      </c>
      <c r="E50" s="27" t="s">
        <v>867</v>
      </c>
      <c r="F50" s="13" t="s">
        <v>731</v>
      </c>
      <c r="G50" s="11" t="s">
        <v>206</v>
      </c>
      <c r="H50" s="11" t="s">
        <v>86</v>
      </c>
      <c r="I50" s="11" t="s">
        <v>875</v>
      </c>
    </row>
    <row r="51" customFormat="false" ht="15" hidden="false" customHeight="true" outlineLevel="0" collapsed="false">
      <c r="A51" s="10" t="s">
        <v>384</v>
      </c>
      <c r="B51" s="11" t="s">
        <v>876</v>
      </c>
      <c r="C51" s="11" t="s">
        <v>738</v>
      </c>
      <c r="D51" s="11" t="s">
        <v>729</v>
      </c>
      <c r="E51" s="27" t="s">
        <v>867</v>
      </c>
      <c r="F51" s="13" t="s">
        <v>731</v>
      </c>
      <c r="G51" s="11" t="s">
        <v>58</v>
      </c>
      <c r="H51" s="11" t="s">
        <v>86</v>
      </c>
      <c r="I51" s="11" t="s">
        <v>877</v>
      </c>
    </row>
    <row r="52" customFormat="false" ht="23.25" hidden="false" customHeight="true" outlineLevel="0" collapsed="false">
      <c r="A52" s="10" t="s">
        <v>510</v>
      </c>
      <c r="B52" s="11" t="s">
        <v>878</v>
      </c>
      <c r="C52" s="11" t="s">
        <v>879</v>
      </c>
      <c r="D52" s="11" t="s">
        <v>729</v>
      </c>
      <c r="E52" s="27" t="s">
        <v>867</v>
      </c>
      <c r="F52" s="13" t="s">
        <v>731</v>
      </c>
      <c r="G52" s="11" t="s">
        <v>517</v>
      </c>
      <c r="H52" s="11" t="s">
        <v>880</v>
      </c>
      <c r="I52" s="11" t="s">
        <v>881</v>
      </c>
    </row>
    <row r="53" customFormat="false" ht="15" hidden="false" customHeight="true" outlineLevel="0" collapsed="false">
      <c r="A53" s="10" t="s">
        <v>617</v>
      </c>
      <c r="B53" s="11" t="s">
        <v>50</v>
      </c>
      <c r="C53" s="11" t="s">
        <v>728</v>
      </c>
      <c r="D53" s="11" t="s">
        <v>729</v>
      </c>
      <c r="E53" s="27" t="s">
        <v>867</v>
      </c>
      <c r="F53" s="13" t="s">
        <v>731</v>
      </c>
      <c r="G53" s="11" t="s">
        <v>622</v>
      </c>
      <c r="H53" s="11" t="s">
        <v>86</v>
      </c>
      <c r="I53" s="11" t="s">
        <v>882</v>
      </c>
    </row>
    <row r="54" customFormat="false" ht="23.25" hidden="false" customHeight="true" outlineLevel="0" collapsed="false">
      <c r="A54" s="10" t="s">
        <v>883</v>
      </c>
      <c r="B54" s="11" t="s">
        <v>884</v>
      </c>
      <c r="C54" s="11" t="s">
        <v>885</v>
      </c>
      <c r="D54" s="11" t="s">
        <v>729</v>
      </c>
      <c r="E54" s="28" t="s">
        <v>886</v>
      </c>
      <c r="F54" s="13" t="s">
        <v>731</v>
      </c>
      <c r="G54" s="11" t="s">
        <v>887</v>
      </c>
      <c r="H54" s="25" t="s">
        <v>888</v>
      </c>
      <c r="I54" s="11" t="s">
        <v>889</v>
      </c>
    </row>
    <row r="55" customFormat="false" ht="23.25" hidden="false" customHeight="true" outlineLevel="0" collapsed="false">
      <c r="A55" s="10" t="s">
        <v>890</v>
      </c>
      <c r="B55" s="11" t="s">
        <v>891</v>
      </c>
      <c r="C55" s="11" t="s">
        <v>892</v>
      </c>
      <c r="D55" s="11" t="s">
        <v>739</v>
      </c>
      <c r="E55" s="28" t="s">
        <v>886</v>
      </c>
      <c r="F55" s="13" t="s">
        <v>731</v>
      </c>
      <c r="G55" s="11" t="s">
        <v>206</v>
      </c>
      <c r="H55" s="11" t="s">
        <v>683</v>
      </c>
      <c r="I55" s="11" t="s">
        <v>893</v>
      </c>
    </row>
    <row r="56" customFormat="false" ht="15" hidden="false" customHeight="true" outlineLevel="0" collapsed="false">
      <c r="A56" s="10" t="s">
        <v>894</v>
      </c>
      <c r="B56" s="11" t="s">
        <v>598</v>
      </c>
      <c r="C56" s="11" t="s">
        <v>837</v>
      </c>
      <c r="D56" s="11" t="s">
        <v>729</v>
      </c>
      <c r="E56" s="28" t="s">
        <v>886</v>
      </c>
      <c r="F56" s="13" t="s">
        <v>731</v>
      </c>
      <c r="G56" s="11" t="s">
        <v>206</v>
      </c>
      <c r="H56" s="11" t="s">
        <v>683</v>
      </c>
      <c r="I56" s="11" t="s">
        <v>895</v>
      </c>
    </row>
    <row r="57" customFormat="false" ht="15" hidden="false" customHeight="true" outlineLevel="0" collapsed="false">
      <c r="A57" s="10" t="s">
        <v>896</v>
      </c>
      <c r="B57" s="11" t="s">
        <v>50</v>
      </c>
      <c r="C57" s="11" t="s">
        <v>728</v>
      </c>
      <c r="D57" s="11" t="s">
        <v>729</v>
      </c>
      <c r="E57" s="28" t="s">
        <v>886</v>
      </c>
      <c r="F57" s="13" t="s">
        <v>731</v>
      </c>
      <c r="G57" s="11" t="s">
        <v>165</v>
      </c>
      <c r="H57" s="11" t="s">
        <v>683</v>
      </c>
      <c r="I57" s="11" t="s">
        <v>897</v>
      </c>
    </row>
    <row r="58" customFormat="false" ht="23.25" hidden="false" customHeight="true" outlineLevel="0" collapsed="false">
      <c r="A58" s="10" t="s">
        <v>692</v>
      </c>
      <c r="B58" s="11" t="s">
        <v>114</v>
      </c>
      <c r="C58" s="11" t="s">
        <v>898</v>
      </c>
      <c r="D58" s="11" t="s">
        <v>739</v>
      </c>
      <c r="E58" s="28" t="s">
        <v>886</v>
      </c>
      <c r="F58" s="13" t="s">
        <v>731</v>
      </c>
      <c r="G58" s="11" t="s">
        <v>899</v>
      </c>
      <c r="H58" s="11" t="s">
        <v>683</v>
      </c>
      <c r="I58" s="11" t="s">
        <v>900</v>
      </c>
    </row>
    <row r="59" customFormat="false" ht="15" hidden="false" customHeight="true" outlineLevel="0" collapsed="false">
      <c r="A59" s="10" t="s">
        <v>901</v>
      </c>
      <c r="B59" s="11" t="s">
        <v>781</v>
      </c>
      <c r="C59" s="11" t="s">
        <v>841</v>
      </c>
      <c r="D59" s="11" t="s">
        <v>739</v>
      </c>
      <c r="E59" s="28" t="s">
        <v>886</v>
      </c>
      <c r="F59" s="13" t="s">
        <v>731</v>
      </c>
      <c r="G59" s="11" t="s">
        <v>902</v>
      </c>
      <c r="H59" s="11" t="s">
        <v>683</v>
      </c>
      <c r="I59" s="11" t="s">
        <v>903</v>
      </c>
    </row>
    <row r="60" customFormat="false" ht="15" hidden="false" customHeight="true" outlineLevel="0" collapsed="false">
      <c r="A60" s="10" t="s">
        <v>904</v>
      </c>
      <c r="B60" s="11" t="s">
        <v>114</v>
      </c>
      <c r="C60" s="11" t="s">
        <v>905</v>
      </c>
      <c r="D60" s="11" t="s">
        <v>729</v>
      </c>
      <c r="E60" s="28" t="s">
        <v>886</v>
      </c>
      <c r="F60" s="13" t="s">
        <v>731</v>
      </c>
      <c r="G60" s="11" t="s">
        <v>906</v>
      </c>
      <c r="H60" s="11" t="s">
        <v>683</v>
      </c>
      <c r="I60" s="11" t="s">
        <v>907</v>
      </c>
    </row>
    <row r="61" customFormat="false" ht="23.25" hidden="false" customHeight="true" outlineLevel="0" collapsed="false">
      <c r="A61" s="10" t="s">
        <v>908</v>
      </c>
      <c r="B61" s="11" t="s">
        <v>815</v>
      </c>
      <c r="C61" s="11" t="s">
        <v>782</v>
      </c>
      <c r="D61" s="11" t="s">
        <v>729</v>
      </c>
      <c r="E61" s="28" t="s">
        <v>886</v>
      </c>
      <c r="F61" s="13" t="s">
        <v>731</v>
      </c>
      <c r="G61" s="11" t="s">
        <v>909</v>
      </c>
      <c r="H61" s="11" t="s">
        <v>683</v>
      </c>
      <c r="I61" s="11" t="s">
        <v>910</v>
      </c>
    </row>
    <row r="62" customFormat="false" ht="15" hidden="false" customHeight="true" outlineLevel="0" collapsed="false">
      <c r="A62" s="10" t="s">
        <v>682</v>
      </c>
      <c r="B62" s="11" t="s">
        <v>781</v>
      </c>
      <c r="C62" s="11" t="s">
        <v>911</v>
      </c>
      <c r="D62" s="11" t="s">
        <v>739</v>
      </c>
      <c r="E62" s="29" t="s">
        <v>912</v>
      </c>
      <c r="F62" s="13" t="s">
        <v>731</v>
      </c>
      <c r="G62" s="11" t="s">
        <v>913</v>
      </c>
      <c r="H62" s="11" t="s">
        <v>683</v>
      </c>
      <c r="I62" s="11" t="s">
        <v>914</v>
      </c>
    </row>
    <row r="63" customFormat="false" ht="15" hidden="false" customHeight="true" outlineLevel="0" collapsed="false">
      <c r="A63" s="10" t="s">
        <v>915</v>
      </c>
      <c r="B63" s="11" t="s">
        <v>884</v>
      </c>
      <c r="C63" s="11" t="s">
        <v>885</v>
      </c>
      <c r="D63" s="11" t="s">
        <v>729</v>
      </c>
      <c r="E63" s="27" t="s">
        <v>867</v>
      </c>
      <c r="F63" s="13" t="s">
        <v>731</v>
      </c>
      <c r="G63" s="11" t="s">
        <v>227</v>
      </c>
      <c r="H63" s="11" t="s">
        <v>86</v>
      </c>
      <c r="I63" s="11" t="s">
        <v>916</v>
      </c>
    </row>
    <row r="64" customFormat="false" ht="23.25" hidden="false" customHeight="true" outlineLevel="0" collapsed="false">
      <c r="A64" s="10" t="s">
        <v>665</v>
      </c>
      <c r="B64" s="11" t="s">
        <v>815</v>
      </c>
      <c r="C64" s="11" t="s">
        <v>816</v>
      </c>
      <c r="D64" s="11" t="s">
        <v>739</v>
      </c>
      <c r="E64" s="30" t="s">
        <v>917</v>
      </c>
      <c r="F64" s="13" t="s">
        <v>731</v>
      </c>
      <c r="G64" s="11" t="s">
        <v>918</v>
      </c>
      <c r="H64" s="11" t="s">
        <v>683</v>
      </c>
      <c r="I64" s="11" t="s">
        <v>919</v>
      </c>
    </row>
    <row r="65" customFormat="false" ht="23.25" hidden="false" customHeight="true" outlineLevel="0" collapsed="false">
      <c r="A65" s="10" t="s">
        <v>679</v>
      </c>
      <c r="B65" s="11" t="s">
        <v>815</v>
      </c>
      <c r="C65" s="11" t="s">
        <v>816</v>
      </c>
      <c r="D65" s="11" t="s">
        <v>739</v>
      </c>
      <c r="E65" s="30" t="s">
        <v>917</v>
      </c>
      <c r="F65" s="13" t="s">
        <v>731</v>
      </c>
      <c r="G65" s="11" t="s">
        <v>920</v>
      </c>
      <c r="H65" s="11" t="s">
        <v>683</v>
      </c>
      <c r="I65" s="11" t="s">
        <v>921</v>
      </c>
    </row>
    <row r="66" customFormat="false" ht="23.25" hidden="false" customHeight="true" outlineLevel="0" collapsed="false">
      <c r="A66" s="10" t="s">
        <v>922</v>
      </c>
      <c r="B66" s="11" t="s">
        <v>781</v>
      </c>
      <c r="C66" s="11" t="s">
        <v>923</v>
      </c>
      <c r="D66" s="11" t="s">
        <v>729</v>
      </c>
      <c r="E66" s="30" t="s">
        <v>917</v>
      </c>
      <c r="F66" s="13" t="s">
        <v>731</v>
      </c>
      <c r="G66" s="11" t="s">
        <v>924</v>
      </c>
      <c r="H66" s="11" t="s">
        <v>683</v>
      </c>
      <c r="I66" s="11" t="s">
        <v>925</v>
      </c>
    </row>
    <row r="67" customFormat="false" ht="23.25" hidden="false" customHeight="true" outlineLevel="0" collapsed="false">
      <c r="A67" s="10" t="s">
        <v>926</v>
      </c>
      <c r="B67" s="11" t="s">
        <v>114</v>
      </c>
      <c r="C67" s="11" t="s">
        <v>927</v>
      </c>
      <c r="D67" s="11" t="s">
        <v>739</v>
      </c>
      <c r="E67" s="30" t="s">
        <v>917</v>
      </c>
      <c r="F67" s="13" t="s">
        <v>731</v>
      </c>
      <c r="G67" s="11" t="s">
        <v>928</v>
      </c>
      <c r="H67" s="11" t="s">
        <v>683</v>
      </c>
      <c r="I67" s="11" t="s">
        <v>929</v>
      </c>
    </row>
    <row r="68" customFormat="false" ht="23.25" hidden="false" customHeight="true" outlineLevel="0" collapsed="false">
      <c r="A68" s="10" t="s">
        <v>930</v>
      </c>
      <c r="B68" s="11" t="s">
        <v>114</v>
      </c>
      <c r="C68" s="11" t="s">
        <v>777</v>
      </c>
      <c r="D68" s="11" t="s">
        <v>739</v>
      </c>
      <c r="E68" s="30" t="s">
        <v>917</v>
      </c>
      <c r="F68" s="13" t="s">
        <v>731</v>
      </c>
      <c r="G68" s="11" t="s">
        <v>931</v>
      </c>
      <c r="H68" s="11" t="s">
        <v>683</v>
      </c>
      <c r="I68" s="11" t="s">
        <v>932</v>
      </c>
    </row>
    <row r="69" customFormat="false" ht="23.25" hidden="false" customHeight="true" outlineLevel="0" collapsed="false">
      <c r="A69" s="10" t="s">
        <v>933</v>
      </c>
      <c r="B69" s="11" t="s">
        <v>114</v>
      </c>
      <c r="C69" s="11" t="s">
        <v>777</v>
      </c>
      <c r="D69" s="11" t="s">
        <v>739</v>
      </c>
      <c r="E69" s="30" t="s">
        <v>917</v>
      </c>
      <c r="F69" s="13" t="s">
        <v>731</v>
      </c>
      <c r="G69" s="11" t="s">
        <v>934</v>
      </c>
      <c r="H69" s="11" t="s">
        <v>683</v>
      </c>
      <c r="I69" s="11" t="s">
        <v>935</v>
      </c>
    </row>
    <row r="70" customFormat="false" ht="23.25" hidden="false" customHeight="true" outlineLevel="0" collapsed="false">
      <c r="A70" s="10" t="s">
        <v>936</v>
      </c>
      <c r="B70" s="11" t="s">
        <v>114</v>
      </c>
      <c r="C70" s="11" t="s">
        <v>777</v>
      </c>
      <c r="D70" s="11" t="s">
        <v>739</v>
      </c>
      <c r="E70" s="30" t="s">
        <v>917</v>
      </c>
      <c r="F70" s="13" t="s">
        <v>731</v>
      </c>
      <c r="G70" s="11" t="s">
        <v>906</v>
      </c>
      <c r="H70" s="11" t="s">
        <v>683</v>
      </c>
      <c r="I70" s="11" t="s">
        <v>937</v>
      </c>
    </row>
    <row r="71" customFormat="false" ht="15" hidden="false" customHeight="true" outlineLevel="0" collapsed="false">
      <c r="A71" s="10" t="s">
        <v>938</v>
      </c>
      <c r="B71" s="11" t="s">
        <v>939</v>
      </c>
      <c r="C71" s="11" t="s">
        <v>777</v>
      </c>
      <c r="D71" s="11" t="s">
        <v>739</v>
      </c>
      <c r="E71" s="29" t="s">
        <v>912</v>
      </c>
      <c r="F71" s="13" t="s">
        <v>731</v>
      </c>
      <c r="G71" s="11" t="s">
        <v>940</v>
      </c>
      <c r="H71" s="11" t="s">
        <v>683</v>
      </c>
      <c r="I71" s="11" t="s">
        <v>941</v>
      </c>
    </row>
    <row r="72" customFormat="false" ht="23.25" hidden="false" customHeight="true" outlineLevel="0" collapsed="false">
      <c r="A72" s="10" t="s">
        <v>942</v>
      </c>
      <c r="B72" s="11" t="s">
        <v>943</v>
      </c>
      <c r="C72" s="11" t="s">
        <v>944</v>
      </c>
      <c r="D72" s="11" t="s">
        <v>729</v>
      </c>
      <c r="E72" s="27" t="s">
        <v>867</v>
      </c>
      <c r="F72" s="13" t="s">
        <v>731</v>
      </c>
      <c r="G72" s="11" t="s">
        <v>906</v>
      </c>
      <c r="H72" s="11" t="s">
        <v>683</v>
      </c>
      <c r="I72" s="11" t="s">
        <v>945</v>
      </c>
    </row>
    <row r="73" customFormat="false" ht="15" hidden="false" customHeight="true" outlineLevel="0" collapsed="false">
      <c r="A73" s="10" t="s">
        <v>946</v>
      </c>
      <c r="B73" s="11" t="s">
        <v>791</v>
      </c>
      <c r="C73" s="11" t="s">
        <v>760</v>
      </c>
      <c r="D73" s="11" t="s">
        <v>739</v>
      </c>
      <c r="E73" s="27" t="s">
        <v>867</v>
      </c>
      <c r="F73" s="13" t="s">
        <v>731</v>
      </c>
      <c r="G73" s="11" t="s">
        <v>947</v>
      </c>
      <c r="H73" s="11" t="s">
        <v>86</v>
      </c>
      <c r="I73" s="11" t="s">
        <v>948</v>
      </c>
    </row>
    <row r="74" customFormat="false" ht="15" hidden="false" customHeight="true" outlineLevel="0" collapsed="false">
      <c r="A74" s="10" t="s">
        <v>949</v>
      </c>
      <c r="B74" s="11" t="s">
        <v>114</v>
      </c>
      <c r="C74" s="11" t="s">
        <v>760</v>
      </c>
      <c r="D74" s="11" t="s">
        <v>739</v>
      </c>
      <c r="E74" s="27" t="s">
        <v>867</v>
      </c>
      <c r="F74" s="13" t="s">
        <v>731</v>
      </c>
      <c r="G74" s="11" t="s">
        <v>950</v>
      </c>
      <c r="H74" s="11" t="s">
        <v>86</v>
      </c>
      <c r="I74" s="11" t="s">
        <v>951</v>
      </c>
    </row>
    <row r="75" customFormat="false" ht="15" hidden="false" customHeight="true" outlineLevel="0" collapsed="false">
      <c r="A75" s="10" t="s">
        <v>952</v>
      </c>
      <c r="B75" s="11" t="s">
        <v>785</v>
      </c>
      <c r="C75" s="11" t="s">
        <v>760</v>
      </c>
      <c r="D75" s="11" t="s">
        <v>683</v>
      </c>
      <c r="E75" s="27" t="s">
        <v>867</v>
      </c>
      <c r="F75" s="13" t="s">
        <v>731</v>
      </c>
      <c r="G75" s="11" t="s">
        <v>88</v>
      </c>
      <c r="H75" s="11" t="s">
        <v>86</v>
      </c>
      <c r="I75" s="11" t="s">
        <v>953</v>
      </c>
    </row>
    <row r="76" customFormat="false" ht="15" hidden="false" customHeight="true" outlineLevel="0" collapsed="false">
      <c r="A76" s="10" t="s">
        <v>954</v>
      </c>
      <c r="B76" s="11" t="s">
        <v>114</v>
      </c>
      <c r="C76" s="11" t="s">
        <v>777</v>
      </c>
      <c r="D76" s="11" t="s">
        <v>729</v>
      </c>
      <c r="E76" s="27" t="s">
        <v>867</v>
      </c>
      <c r="F76" s="13" t="s">
        <v>731</v>
      </c>
      <c r="G76" s="11" t="s">
        <v>227</v>
      </c>
      <c r="H76" s="11" t="s">
        <v>683</v>
      </c>
      <c r="I76" s="11" t="s">
        <v>955</v>
      </c>
    </row>
    <row r="77" customFormat="false" ht="15" hidden="false" customHeight="true" outlineLevel="0" collapsed="false">
      <c r="A77" s="10" t="s">
        <v>956</v>
      </c>
      <c r="B77" s="11" t="s">
        <v>957</v>
      </c>
      <c r="C77" s="11" t="s">
        <v>777</v>
      </c>
      <c r="D77" s="11" t="s">
        <v>729</v>
      </c>
      <c r="E77" s="27" t="s">
        <v>867</v>
      </c>
      <c r="F77" s="13" t="s">
        <v>731</v>
      </c>
      <c r="G77" s="11" t="s">
        <v>165</v>
      </c>
      <c r="H77" s="11" t="s">
        <v>683</v>
      </c>
      <c r="I77" s="11" t="s">
        <v>958</v>
      </c>
    </row>
    <row r="78" customFormat="false" ht="15" hidden="false" customHeight="true" outlineLevel="0" collapsed="false">
      <c r="A78" s="10" t="s">
        <v>959</v>
      </c>
      <c r="B78" s="11" t="s">
        <v>943</v>
      </c>
      <c r="C78" s="11" t="s">
        <v>944</v>
      </c>
      <c r="D78" s="11" t="s">
        <v>729</v>
      </c>
      <c r="E78" s="27" t="s">
        <v>867</v>
      </c>
      <c r="F78" s="13" t="s">
        <v>731</v>
      </c>
      <c r="G78" s="11" t="s">
        <v>227</v>
      </c>
      <c r="H78" s="11" t="s">
        <v>683</v>
      </c>
      <c r="I78" s="11" t="s">
        <v>958</v>
      </c>
    </row>
    <row r="79" customFormat="false" ht="23.25" hidden="false" customHeight="true" outlineLevel="0" collapsed="false">
      <c r="A79" s="10" t="s">
        <v>960</v>
      </c>
      <c r="B79" s="11" t="s">
        <v>50</v>
      </c>
      <c r="C79" s="11" t="s">
        <v>728</v>
      </c>
      <c r="D79" s="11" t="s">
        <v>729</v>
      </c>
      <c r="E79" s="29" t="s">
        <v>912</v>
      </c>
      <c r="F79" s="13" t="s">
        <v>731</v>
      </c>
      <c r="G79" s="11" t="s">
        <v>961</v>
      </c>
      <c r="H79" s="11" t="s">
        <v>683</v>
      </c>
      <c r="I79" s="11" t="s">
        <v>962</v>
      </c>
    </row>
    <row r="80" customFormat="false" ht="34.5" hidden="false" customHeight="true" outlineLevel="0" collapsed="false">
      <c r="A80" s="10" t="s">
        <v>963</v>
      </c>
      <c r="B80" s="11" t="s">
        <v>964</v>
      </c>
      <c r="C80" s="11" t="s">
        <v>738</v>
      </c>
      <c r="D80" s="11" t="s">
        <v>739</v>
      </c>
      <c r="E80" s="29" t="s">
        <v>912</v>
      </c>
      <c r="F80" s="13" t="s">
        <v>731</v>
      </c>
      <c r="G80" s="11" t="s">
        <v>206</v>
      </c>
      <c r="H80" s="11" t="s">
        <v>683</v>
      </c>
      <c r="I80" s="11" t="s">
        <v>965</v>
      </c>
    </row>
    <row r="81" customFormat="false" ht="23.25" hidden="false" customHeight="true" outlineLevel="0" collapsed="false">
      <c r="A81" s="10" t="s">
        <v>966</v>
      </c>
      <c r="B81" s="11" t="s">
        <v>114</v>
      </c>
      <c r="C81" s="11" t="s">
        <v>967</v>
      </c>
      <c r="D81" s="11" t="s">
        <v>729</v>
      </c>
      <c r="E81" s="30" t="s">
        <v>917</v>
      </c>
      <c r="F81" s="13" t="s">
        <v>731</v>
      </c>
      <c r="G81" s="11" t="s">
        <v>968</v>
      </c>
      <c r="H81" s="11" t="s">
        <v>683</v>
      </c>
      <c r="I81" s="11" t="s">
        <v>969</v>
      </c>
    </row>
    <row r="82" customFormat="false" ht="15" hidden="false" customHeight="true" outlineLevel="0" collapsed="false">
      <c r="A82" s="10" t="s">
        <v>970</v>
      </c>
      <c r="B82" s="11" t="s">
        <v>971</v>
      </c>
      <c r="C82" s="11" t="s">
        <v>923</v>
      </c>
      <c r="D82" s="11" t="s">
        <v>729</v>
      </c>
      <c r="E82" s="27" t="s">
        <v>867</v>
      </c>
      <c r="F82" s="13" t="s">
        <v>731</v>
      </c>
      <c r="G82" s="11" t="s">
        <v>165</v>
      </c>
      <c r="H82" s="11" t="s">
        <v>683</v>
      </c>
      <c r="I82" s="11" t="s">
        <v>972</v>
      </c>
    </row>
    <row r="83" customFormat="false" ht="15" hidden="false" customHeight="true" outlineLevel="0" collapsed="false">
      <c r="A83" s="10" t="s">
        <v>973</v>
      </c>
      <c r="B83" s="11" t="s">
        <v>974</v>
      </c>
      <c r="C83" s="11" t="s">
        <v>975</v>
      </c>
      <c r="D83" s="11" t="s">
        <v>729</v>
      </c>
      <c r="E83" s="27" t="s">
        <v>867</v>
      </c>
      <c r="F83" s="13" t="s">
        <v>731</v>
      </c>
      <c r="G83" s="11" t="s">
        <v>165</v>
      </c>
      <c r="H83" s="11" t="s">
        <v>683</v>
      </c>
      <c r="I83" s="11" t="s">
        <v>976</v>
      </c>
    </row>
    <row r="84" customFormat="false" ht="15" hidden="false" customHeight="true" outlineLevel="0" collapsed="false">
      <c r="A84" s="10" t="s">
        <v>977</v>
      </c>
      <c r="B84" s="11" t="s">
        <v>978</v>
      </c>
      <c r="C84" s="11" t="s">
        <v>979</v>
      </c>
      <c r="D84" s="11" t="s">
        <v>729</v>
      </c>
      <c r="E84" s="27" t="s">
        <v>867</v>
      </c>
      <c r="F84" s="13" t="s">
        <v>731</v>
      </c>
      <c r="G84" s="11" t="s">
        <v>165</v>
      </c>
      <c r="H84" s="11" t="s">
        <v>683</v>
      </c>
      <c r="I84" s="11" t="s">
        <v>976</v>
      </c>
    </row>
    <row r="85" customFormat="false" ht="23.25" hidden="false" customHeight="true" outlineLevel="0" collapsed="false">
      <c r="A85" s="10" t="s">
        <v>980</v>
      </c>
      <c r="B85" s="11" t="s">
        <v>978</v>
      </c>
      <c r="C85" s="11" t="s">
        <v>981</v>
      </c>
      <c r="D85" s="11" t="s">
        <v>729</v>
      </c>
      <c r="E85" s="27" t="s">
        <v>867</v>
      </c>
      <c r="F85" s="13" t="s">
        <v>731</v>
      </c>
      <c r="G85" s="11" t="s">
        <v>165</v>
      </c>
      <c r="H85" s="11" t="s">
        <v>683</v>
      </c>
      <c r="I85" s="11" t="s">
        <v>982</v>
      </c>
    </row>
    <row r="86" customFormat="false" ht="15" hidden="false" customHeight="true" outlineLevel="0" collapsed="false">
      <c r="A86" s="10" t="s">
        <v>983</v>
      </c>
      <c r="B86" s="11" t="s">
        <v>984</v>
      </c>
      <c r="C86" s="11" t="s">
        <v>985</v>
      </c>
      <c r="D86" s="11" t="s">
        <v>729</v>
      </c>
      <c r="E86" s="27" t="s">
        <v>867</v>
      </c>
      <c r="F86" s="13" t="s">
        <v>731</v>
      </c>
      <c r="G86" s="11" t="s">
        <v>918</v>
      </c>
      <c r="H86" s="11" t="s">
        <v>683</v>
      </c>
      <c r="I86" s="11" t="s">
        <v>958</v>
      </c>
    </row>
    <row r="87" customFormat="false" ht="15" hidden="false" customHeight="true" outlineLevel="0" collapsed="false">
      <c r="A87" s="10" t="s">
        <v>986</v>
      </c>
      <c r="B87" s="11" t="s">
        <v>781</v>
      </c>
      <c r="C87" s="11" t="s">
        <v>987</v>
      </c>
      <c r="D87" s="11" t="s">
        <v>729</v>
      </c>
      <c r="E87" s="27" t="s">
        <v>867</v>
      </c>
      <c r="F87" s="13" t="s">
        <v>731</v>
      </c>
      <c r="G87" s="11" t="s">
        <v>227</v>
      </c>
      <c r="H87" s="11" t="s">
        <v>683</v>
      </c>
      <c r="I87" s="11" t="s">
        <v>958</v>
      </c>
    </row>
    <row r="88" customFormat="false" ht="15" hidden="false" customHeight="true" outlineLevel="0" collapsed="false">
      <c r="A88" s="10" t="s">
        <v>988</v>
      </c>
      <c r="B88" s="11" t="s">
        <v>569</v>
      </c>
      <c r="C88" s="11" t="s">
        <v>989</v>
      </c>
      <c r="D88" s="11" t="s">
        <v>729</v>
      </c>
      <c r="E88" s="27" t="s">
        <v>867</v>
      </c>
      <c r="F88" s="13" t="s">
        <v>731</v>
      </c>
      <c r="G88" s="11" t="s">
        <v>165</v>
      </c>
      <c r="H88" s="11" t="s">
        <v>683</v>
      </c>
      <c r="I88" s="11" t="s">
        <v>990</v>
      </c>
    </row>
    <row r="89" customFormat="false" ht="15" hidden="false" customHeight="true" outlineLevel="0" collapsed="false">
      <c r="A89" s="10" t="s">
        <v>991</v>
      </c>
      <c r="B89" s="11" t="s">
        <v>992</v>
      </c>
      <c r="C89" s="11" t="s">
        <v>993</v>
      </c>
      <c r="D89" s="11" t="s">
        <v>729</v>
      </c>
      <c r="E89" s="27" t="s">
        <v>867</v>
      </c>
      <c r="F89" s="13" t="s">
        <v>731</v>
      </c>
      <c r="G89" s="11" t="s">
        <v>165</v>
      </c>
      <c r="H89" s="11" t="s">
        <v>683</v>
      </c>
      <c r="I89" s="11" t="s">
        <v>994</v>
      </c>
    </row>
    <row r="90" customFormat="false" ht="15" hidden="false" customHeight="true" outlineLevel="0" collapsed="false">
      <c r="A90" s="10" t="s">
        <v>995</v>
      </c>
      <c r="B90" s="11" t="s">
        <v>996</v>
      </c>
      <c r="C90" s="11" t="s">
        <v>997</v>
      </c>
      <c r="D90" s="11" t="s">
        <v>739</v>
      </c>
      <c r="E90" s="27" t="s">
        <v>867</v>
      </c>
      <c r="F90" s="13" t="s">
        <v>731</v>
      </c>
      <c r="G90" s="11" t="s">
        <v>165</v>
      </c>
      <c r="H90" s="11" t="s">
        <v>683</v>
      </c>
      <c r="I90" s="11" t="s">
        <v>998</v>
      </c>
    </row>
    <row r="91" customFormat="false" ht="15" hidden="false" customHeight="true" outlineLevel="0" collapsed="false">
      <c r="A91" s="10" t="s">
        <v>999</v>
      </c>
      <c r="B91" s="11" t="s">
        <v>50</v>
      </c>
      <c r="C91" s="11" t="s">
        <v>1000</v>
      </c>
      <c r="D91" s="11" t="s">
        <v>739</v>
      </c>
      <c r="E91" s="27" t="s">
        <v>867</v>
      </c>
      <c r="F91" s="13" t="s">
        <v>731</v>
      </c>
      <c r="G91" s="11" t="s">
        <v>165</v>
      </c>
      <c r="H91" s="11" t="s">
        <v>683</v>
      </c>
      <c r="I91" s="11" t="s">
        <v>1001</v>
      </c>
    </row>
    <row r="92" customFormat="false" ht="15" hidden="false" customHeight="true" outlineLevel="0" collapsed="false">
      <c r="A92" s="10" t="s">
        <v>1002</v>
      </c>
      <c r="B92" s="11" t="s">
        <v>1003</v>
      </c>
      <c r="C92" s="11" t="s">
        <v>766</v>
      </c>
      <c r="D92" s="11" t="s">
        <v>729</v>
      </c>
      <c r="E92" s="27" t="s">
        <v>867</v>
      </c>
      <c r="F92" s="13" t="s">
        <v>731</v>
      </c>
      <c r="G92" s="11" t="s">
        <v>165</v>
      </c>
      <c r="H92" s="11" t="s">
        <v>683</v>
      </c>
      <c r="I92" s="11" t="s">
        <v>1004</v>
      </c>
    </row>
    <row r="93" customFormat="false" ht="15" hidden="false" customHeight="true" outlineLevel="0" collapsed="false">
      <c r="A93" s="10" t="s">
        <v>1005</v>
      </c>
      <c r="B93" s="11" t="s">
        <v>1003</v>
      </c>
      <c r="C93" s="11" t="s">
        <v>809</v>
      </c>
      <c r="D93" s="11" t="s">
        <v>729</v>
      </c>
      <c r="E93" s="27" t="s">
        <v>867</v>
      </c>
      <c r="F93" s="13" t="s">
        <v>731</v>
      </c>
      <c r="G93" s="11" t="s">
        <v>165</v>
      </c>
      <c r="H93" s="11" t="s">
        <v>683</v>
      </c>
      <c r="I93" s="11" t="s">
        <v>1006</v>
      </c>
    </row>
    <row r="94" customFormat="false" ht="15" hidden="false" customHeight="true" outlineLevel="0" collapsed="false">
      <c r="A94" s="10" t="s">
        <v>1007</v>
      </c>
      <c r="B94" s="11" t="s">
        <v>1003</v>
      </c>
      <c r="C94" s="11" t="s">
        <v>766</v>
      </c>
      <c r="D94" s="11" t="s">
        <v>867</v>
      </c>
      <c r="E94" s="27" t="s">
        <v>867</v>
      </c>
      <c r="F94" s="13" t="s">
        <v>731</v>
      </c>
      <c r="G94" s="11" t="s">
        <v>165</v>
      </c>
      <c r="H94" s="11" t="s">
        <v>683</v>
      </c>
      <c r="I94" s="11" t="s">
        <v>1006</v>
      </c>
    </row>
    <row r="95" customFormat="false" ht="15" hidden="false" customHeight="true" outlineLevel="0" collapsed="false">
      <c r="A95" s="10" t="s">
        <v>1008</v>
      </c>
      <c r="B95" s="11" t="s">
        <v>1009</v>
      </c>
      <c r="C95" s="11" t="s">
        <v>923</v>
      </c>
      <c r="D95" s="11" t="s">
        <v>729</v>
      </c>
      <c r="E95" s="27" t="s">
        <v>867</v>
      </c>
      <c r="F95" s="13" t="s">
        <v>731</v>
      </c>
      <c r="G95" s="11" t="s">
        <v>165</v>
      </c>
      <c r="H95" s="11" t="s">
        <v>683</v>
      </c>
      <c r="I95" s="11" t="s">
        <v>1010</v>
      </c>
    </row>
    <row r="96" customFormat="false" ht="15" hidden="false" customHeight="true" outlineLevel="0" collapsed="false">
      <c r="A96" s="10" t="s">
        <v>1011</v>
      </c>
      <c r="B96" s="11" t="s">
        <v>1009</v>
      </c>
      <c r="C96" s="11" t="s">
        <v>1012</v>
      </c>
      <c r="D96" s="11" t="s">
        <v>729</v>
      </c>
      <c r="E96" s="27" t="s">
        <v>867</v>
      </c>
      <c r="F96" s="13" t="s">
        <v>731</v>
      </c>
      <c r="G96" s="11" t="s">
        <v>165</v>
      </c>
      <c r="H96" s="11" t="s">
        <v>683</v>
      </c>
      <c r="I96" s="11" t="s">
        <v>1013</v>
      </c>
    </row>
    <row r="97" customFormat="false" ht="15" hidden="false" customHeight="true" outlineLevel="0" collapsed="false">
      <c r="A97" s="10" t="s">
        <v>1014</v>
      </c>
      <c r="B97" s="11" t="s">
        <v>1015</v>
      </c>
      <c r="C97" s="11" t="s">
        <v>1016</v>
      </c>
      <c r="D97" s="11" t="s">
        <v>729</v>
      </c>
      <c r="E97" s="27" t="s">
        <v>867</v>
      </c>
      <c r="F97" s="13" t="s">
        <v>731</v>
      </c>
      <c r="G97" s="11" t="s">
        <v>165</v>
      </c>
      <c r="H97" s="11" t="s">
        <v>683</v>
      </c>
      <c r="I97" s="11" t="s">
        <v>1013</v>
      </c>
    </row>
    <row r="98" customFormat="false" ht="15" hidden="false" customHeight="true" outlineLevel="0" collapsed="false">
      <c r="A98" s="10" t="s">
        <v>1017</v>
      </c>
      <c r="B98" s="11" t="s">
        <v>1018</v>
      </c>
      <c r="C98" s="11" t="s">
        <v>1016</v>
      </c>
      <c r="D98" s="11" t="s">
        <v>729</v>
      </c>
      <c r="E98" s="27" t="s">
        <v>867</v>
      </c>
      <c r="F98" s="13" t="s">
        <v>731</v>
      </c>
      <c r="G98" s="11" t="s">
        <v>165</v>
      </c>
      <c r="H98" s="11" t="s">
        <v>683</v>
      </c>
      <c r="I98" s="11" t="s">
        <v>1013</v>
      </c>
    </row>
    <row r="99" customFormat="false" ht="15" hidden="false" customHeight="true" outlineLevel="0" collapsed="false">
      <c r="A99" s="10" t="s">
        <v>1019</v>
      </c>
      <c r="B99" s="11" t="s">
        <v>1015</v>
      </c>
      <c r="C99" s="11" t="s">
        <v>1020</v>
      </c>
      <c r="D99" s="11" t="s">
        <v>729</v>
      </c>
      <c r="E99" s="27" t="s">
        <v>867</v>
      </c>
      <c r="F99" s="13" t="s">
        <v>731</v>
      </c>
      <c r="G99" s="11" t="s">
        <v>165</v>
      </c>
      <c r="H99" s="11" t="s">
        <v>683</v>
      </c>
      <c r="I99" s="11" t="s">
        <v>1013</v>
      </c>
    </row>
    <row r="100" customFormat="false" ht="15" hidden="false" customHeight="true" outlineLevel="0" collapsed="false">
      <c r="A100" s="10" t="s">
        <v>1021</v>
      </c>
      <c r="B100" s="11" t="s">
        <v>1018</v>
      </c>
      <c r="C100" s="11" t="s">
        <v>782</v>
      </c>
      <c r="D100" s="11" t="s">
        <v>729</v>
      </c>
      <c r="E100" s="27" t="s">
        <v>867</v>
      </c>
      <c r="F100" s="13" t="s">
        <v>731</v>
      </c>
      <c r="G100" s="11" t="s">
        <v>99</v>
      </c>
      <c r="H100" s="11" t="s">
        <v>683</v>
      </c>
      <c r="I100" s="11" t="s">
        <v>1022</v>
      </c>
    </row>
    <row r="101" customFormat="false" ht="15" hidden="false" customHeight="true" outlineLevel="0" collapsed="false">
      <c r="A101" s="10" t="s">
        <v>1023</v>
      </c>
      <c r="B101" s="11" t="s">
        <v>1009</v>
      </c>
      <c r="C101" s="11" t="s">
        <v>782</v>
      </c>
      <c r="D101" s="11" t="s">
        <v>729</v>
      </c>
      <c r="E101" s="27" t="s">
        <v>867</v>
      </c>
      <c r="F101" s="13" t="s">
        <v>731</v>
      </c>
      <c r="G101" s="11" t="s">
        <v>99</v>
      </c>
      <c r="H101" s="11" t="s">
        <v>683</v>
      </c>
      <c r="I101" s="11" t="s">
        <v>1024</v>
      </c>
    </row>
    <row r="102" customFormat="false" ht="15" hidden="false" customHeight="true" outlineLevel="0" collapsed="false">
      <c r="A102" s="10" t="s">
        <v>1025</v>
      </c>
      <c r="B102" s="11" t="s">
        <v>1009</v>
      </c>
      <c r="C102" s="11" t="s">
        <v>782</v>
      </c>
      <c r="D102" s="11" t="s">
        <v>729</v>
      </c>
      <c r="E102" s="27" t="s">
        <v>867</v>
      </c>
      <c r="F102" s="13" t="s">
        <v>731</v>
      </c>
      <c r="G102" s="11" t="s">
        <v>920</v>
      </c>
      <c r="H102" s="11" t="s">
        <v>683</v>
      </c>
      <c r="I102" s="11" t="s">
        <v>1024</v>
      </c>
    </row>
    <row r="103" customFormat="false" ht="15" hidden="false" customHeight="true" outlineLevel="0" collapsed="false">
      <c r="A103" s="10" t="s">
        <v>1026</v>
      </c>
      <c r="B103" s="11" t="s">
        <v>1009</v>
      </c>
      <c r="C103" s="11" t="s">
        <v>809</v>
      </c>
      <c r="D103" s="11" t="s">
        <v>729</v>
      </c>
      <c r="E103" s="27" t="s">
        <v>867</v>
      </c>
      <c r="F103" s="13" t="s">
        <v>731</v>
      </c>
      <c r="G103" s="11" t="s">
        <v>227</v>
      </c>
      <c r="H103" s="11" t="s">
        <v>683</v>
      </c>
      <c r="I103" s="11" t="s">
        <v>1024</v>
      </c>
    </row>
    <row r="104" customFormat="false" ht="15" hidden="false" customHeight="true" outlineLevel="0" collapsed="false">
      <c r="A104" s="10" t="s">
        <v>1027</v>
      </c>
      <c r="B104" s="11" t="s">
        <v>1009</v>
      </c>
      <c r="C104" s="11" t="s">
        <v>782</v>
      </c>
      <c r="D104" s="11" t="s">
        <v>729</v>
      </c>
      <c r="E104" s="27" t="s">
        <v>867</v>
      </c>
      <c r="F104" s="13" t="s">
        <v>731</v>
      </c>
      <c r="G104" s="11" t="s">
        <v>918</v>
      </c>
      <c r="H104" s="11" t="s">
        <v>683</v>
      </c>
      <c r="I104" s="11" t="s">
        <v>1024</v>
      </c>
    </row>
    <row r="105" customFormat="false" ht="15" hidden="false" customHeight="true" outlineLevel="0" collapsed="false">
      <c r="A105" s="10" t="s">
        <v>1028</v>
      </c>
      <c r="B105" s="11" t="s">
        <v>1009</v>
      </c>
      <c r="C105" s="11" t="s">
        <v>782</v>
      </c>
      <c r="D105" s="11" t="s">
        <v>729</v>
      </c>
      <c r="E105" s="27" t="s">
        <v>867</v>
      </c>
      <c r="F105" s="13" t="s">
        <v>731</v>
      </c>
      <c r="G105" s="11" t="s">
        <v>155</v>
      </c>
      <c r="H105" s="11" t="s">
        <v>683</v>
      </c>
      <c r="I105" s="11" t="s">
        <v>1024</v>
      </c>
    </row>
    <row r="106" customFormat="false" ht="15" hidden="false" customHeight="true" outlineLevel="0" collapsed="false">
      <c r="A106" s="10" t="s">
        <v>1029</v>
      </c>
      <c r="B106" s="11" t="s">
        <v>1030</v>
      </c>
      <c r="C106" s="11" t="s">
        <v>816</v>
      </c>
      <c r="D106" s="11" t="s">
        <v>739</v>
      </c>
      <c r="E106" s="16" t="s">
        <v>1031</v>
      </c>
      <c r="F106" s="13" t="s">
        <v>731</v>
      </c>
      <c r="G106" s="11" t="s">
        <v>99</v>
      </c>
      <c r="H106" s="11" t="s">
        <v>683</v>
      </c>
      <c r="I106" s="11" t="s">
        <v>1032</v>
      </c>
    </row>
    <row r="107" customFormat="false" ht="23.25" hidden="false" customHeight="true" outlineLevel="0" collapsed="false">
      <c r="A107" s="10" t="s">
        <v>1033</v>
      </c>
      <c r="B107" s="11" t="s">
        <v>1030</v>
      </c>
      <c r="C107" s="11" t="s">
        <v>816</v>
      </c>
      <c r="D107" s="11" t="s">
        <v>739</v>
      </c>
      <c r="E107" s="30" t="s">
        <v>917</v>
      </c>
      <c r="F107" s="13" t="s">
        <v>731</v>
      </c>
      <c r="G107" s="11" t="s">
        <v>920</v>
      </c>
      <c r="H107" s="11" t="s">
        <v>683</v>
      </c>
      <c r="I107" s="11" t="s">
        <v>1034</v>
      </c>
    </row>
    <row r="108" customFormat="false" ht="23.25" hidden="false" customHeight="true" outlineLevel="0" collapsed="false">
      <c r="A108" s="10" t="s">
        <v>1035</v>
      </c>
      <c r="B108" s="11" t="s">
        <v>1030</v>
      </c>
      <c r="C108" s="11" t="s">
        <v>816</v>
      </c>
      <c r="D108" s="11" t="s">
        <v>729</v>
      </c>
      <c r="E108" s="30" t="s">
        <v>917</v>
      </c>
      <c r="F108" s="13" t="s">
        <v>731</v>
      </c>
      <c r="G108" s="11" t="s">
        <v>918</v>
      </c>
      <c r="H108" s="11" t="s">
        <v>683</v>
      </c>
      <c r="I108" s="11" t="s">
        <v>1036</v>
      </c>
    </row>
    <row r="109" customFormat="false" ht="15" hidden="false" customHeight="true" outlineLevel="0" collapsed="false">
      <c r="A109" s="10" t="s">
        <v>1037</v>
      </c>
      <c r="B109" s="11" t="s">
        <v>1030</v>
      </c>
      <c r="C109" s="11" t="s">
        <v>809</v>
      </c>
      <c r="D109" s="11" t="s">
        <v>739</v>
      </c>
      <c r="E109" s="16" t="s">
        <v>1031</v>
      </c>
      <c r="F109" s="13" t="s">
        <v>731</v>
      </c>
      <c r="G109" s="11" t="s">
        <v>227</v>
      </c>
      <c r="H109" s="11" t="s">
        <v>683</v>
      </c>
      <c r="I109" s="11" t="s">
        <v>1038</v>
      </c>
    </row>
    <row r="110" customFormat="false" ht="15" hidden="false" customHeight="true" outlineLevel="0" collapsed="false">
      <c r="A110" s="10" t="s">
        <v>1039</v>
      </c>
      <c r="B110" s="11" t="s">
        <v>1030</v>
      </c>
      <c r="C110" s="11" t="s">
        <v>1040</v>
      </c>
      <c r="D110" s="11" t="s">
        <v>729</v>
      </c>
      <c r="E110" s="27" t="s">
        <v>867</v>
      </c>
      <c r="F110" s="13" t="s">
        <v>731</v>
      </c>
      <c r="G110" s="11" t="s">
        <v>165</v>
      </c>
      <c r="H110" s="11" t="s">
        <v>683</v>
      </c>
      <c r="I110" s="11" t="s">
        <v>1041</v>
      </c>
    </row>
    <row r="111" customFormat="false" ht="15" hidden="false" customHeight="true" outlineLevel="0" collapsed="false">
      <c r="A111" s="10" t="s">
        <v>1042</v>
      </c>
      <c r="B111" s="11" t="s">
        <v>1030</v>
      </c>
      <c r="C111" s="11" t="s">
        <v>1040</v>
      </c>
      <c r="D111" s="11" t="s">
        <v>729</v>
      </c>
      <c r="E111" s="27" t="s">
        <v>867</v>
      </c>
      <c r="F111" s="13" t="s">
        <v>731</v>
      </c>
      <c r="G111" s="11" t="s">
        <v>1043</v>
      </c>
      <c r="H111" s="11" t="s">
        <v>683</v>
      </c>
      <c r="I111" s="11" t="s">
        <v>1041</v>
      </c>
    </row>
  </sheetData>
  <autoFilter ref="A1:I111"/>
  <hyperlinks>
    <hyperlink ref="F2" r:id="rId1" display="Careers page"/>
    <hyperlink ref="F3" r:id="rId2" display="Careers page"/>
    <hyperlink ref="F4" r:id="rId3" display="Careers page"/>
    <hyperlink ref="F5" r:id="rId4" display="Careers page"/>
    <hyperlink ref="F6" r:id="rId5" display="Careers page"/>
    <hyperlink ref="F7" r:id="rId6" display="Careers page"/>
    <hyperlink ref="F8" r:id="rId7" display="Careers page"/>
    <hyperlink ref="F9" r:id="rId8" display="Careers page"/>
    <hyperlink ref="F10" r:id="rId9" display="Careers page"/>
    <hyperlink ref="F11" r:id="rId10" display="Careers page"/>
    <hyperlink ref="F12" r:id="rId11" display="Careers page"/>
    <hyperlink ref="F13" r:id="rId12" display="Careers page"/>
    <hyperlink ref="F14" r:id="rId13" display="Careers page"/>
    <hyperlink ref="F15" r:id="rId14" display="Careers page"/>
    <hyperlink ref="F16" r:id="rId15" display="Careers page"/>
    <hyperlink ref="F17" r:id="rId16" display="Careers page"/>
    <hyperlink ref="F18" r:id="rId17" display="Careers page"/>
    <hyperlink ref="F19" r:id="rId18" display="Careers page"/>
    <hyperlink ref="F20" r:id="rId19" display="Careers page"/>
    <hyperlink ref="F21" r:id="rId20" display="Careers page"/>
    <hyperlink ref="F22" r:id="rId21" display="Careers page"/>
    <hyperlink ref="F23" r:id="rId22" display="Careers page"/>
    <hyperlink ref="F24" r:id="rId23" display="Careers page"/>
    <hyperlink ref="F25" r:id="rId24" display="Careers page"/>
    <hyperlink ref="F26" r:id="rId25" display="Careers page"/>
    <hyperlink ref="F27" r:id="rId26" display="Careers page"/>
    <hyperlink ref="F28" r:id="rId27" display="Careers page"/>
    <hyperlink ref="F29" r:id="rId28" display="Careers page"/>
    <hyperlink ref="F30" r:id="rId29" display="Careers page"/>
    <hyperlink ref="F31" r:id="rId30" display="Careers page"/>
    <hyperlink ref="F32" r:id="rId31" display="Careers page"/>
    <hyperlink ref="F33" r:id="rId32" display="Careers page"/>
    <hyperlink ref="F34" r:id="rId33" display="Careers page"/>
    <hyperlink ref="F35" r:id="rId34" display="Careers page"/>
    <hyperlink ref="F36" r:id="rId35" display="Careers page"/>
    <hyperlink ref="F37" r:id="rId36" display="Careers page"/>
    <hyperlink ref="F38" r:id="rId37" display="Careers page"/>
    <hyperlink ref="F39" r:id="rId38" display="Careers page"/>
    <hyperlink ref="F40" r:id="rId39" display="Careers page"/>
    <hyperlink ref="F41" r:id="rId40" display="Careers page"/>
    <hyperlink ref="F42" r:id="rId41" display="Careers page"/>
    <hyperlink ref="F43" r:id="rId42" display="Careers page"/>
    <hyperlink ref="F44" r:id="rId43" display="Careers page"/>
    <hyperlink ref="F45" r:id="rId44" display="Careers page"/>
    <hyperlink ref="F46" r:id="rId45" display="Careers page"/>
    <hyperlink ref="F47" r:id="rId46" display="Careers page"/>
    <hyperlink ref="F48" r:id="rId47" display="Careers page"/>
    <hyperlink ref="F49" r:id="rId48" display="Careers page"/>
    <hyperlink ref="F50" r:id="rId49" display="Careers page"/>
    <hyperlink ref="F51" r:id="rId50" display="Careers page"/>
    <hyperlink ref="F52" r:id="rId51" display="Careers page"/>
    <hyperlink ref="F53" r:id="rId52" display="Careers page"/>
    <hyperlink ref="F54" r:id="rId53" display="Careers page"/>
    <hyperlink ref="F55" r:id="rId54" display="Careers page"/>
    <hyperlink ref="F56" r:id="rId55" display="Careers page"/>
    <hyperlink ref="F57" r:id="rId56" display="Careers page"/>
    <hyperlink ref="F58" r:id="rId57" display="Careers page"/>
    <hyperlink ref="F59" r:id="rId58" display="Careers page"/>
    <hyperlink ref="F60" r:id="rId59" display="Careers page"/>
    <hyperlink ref="F61" r:id="rId60" display="Careers page"/>
    <hyperlink ref="F62" r:id="rId61" display="Careers page"/>
    <hyperlink ref="F63" r:id="rId62" display="Careers page"/>
    <hyperlink ref="F64" r:id="rId63" display="Careers page"/>
    <hyperlink ref="F65" r:id="rId64" display="Careers page"/>
    <hyperlink ref="F66" r:id="rId65" display="Careers page"/>
    <hyperlink ref="F67" r:id="rId66" display="Careers page"/>
    <hyperlink ref="F68" r:id="rId67" display="Careers page"/>
    <hyperlink ref="F69" r:id="rId68" display="Careers page"/>
    <hyperlink ref="F70" r:id="rId69" display="Careers page"/>
    <hyperlink ref="F71" r:id="rId70" display="Careers page"/>
    <hyperlink ref="F72" r:id="rId71" display="Careers page"/>
    <hyperlink ref="F73" r:id="rId72" display="Careers page"/>
    <hyperlink ref="F74" r:id="rId73" display="Careers page"/>
    <hyperlink ref="F75" r:id="rId74" display="Careers page"/>
    <hyperlink ref="F76" r:id="rId75" display="Careers page"/>
    <hyperlink ref="F77" r:id="rId76" display="Careers page"/>
    <hyperlink ref="F78" r:id="rId77" display="Careers page"/>
    <hyperlink ref="F79" r:id="rId78" display="Careers page"/>
    <hyperlink ref="F80" r:id="rId79" display="Careers page"/>
    <hyperlink ref="F81" r:id="rId80" display="Careers page"/>
    <hyperlink ref="F82" r:id="rId81" display="Careers page"/>
    <hyperlink ref="F83" r:id="rId82" display="Careers page"/>
    <hyperlink ref="F84" r:id="rId83" display="Careers page"/>
    <hyperlink ref="F85" r:id="rId84" display="Careers page"/>
    <hyperlink ref="F86" r:id="rId85" display="Careers page"/>
    <hyperlink ref="F87" r:id="rId86" display="Careers page"/>
    <hyperlink ref="F88" r:id="rId87" display="Careers page"/>
    <hyperlink ref="F89" r:id="rId88" display="Careers page"/>
    <hyperlink ref="F90" r:id="rId89" display="Careers page"/>
    <hyperlink ref="F91" r:id="rId90" display="Careers page"/>
    <hyperlink ref="F92" r:id="rId91" display="Careers page"/>
    <hyperlink ref="F93" r:id="rId92" display="Careers page"/>
    <hyperlink ref="F94" r:id="rId93" display="Careers page"/>
    <hyperlink ref="F95" r:id="rId94" display="Careers page"/>
    <hyperlink ref="F96" r:id="rId95" display="Careers page"/>
    <hyperlink ref="F97" r:id="rId96" display="Careers page"/>
    <hyperlink ref="F98" r:id="rId97" display="Careers page"/>
    <hyperlink ref="F99" r:id="rId98" display="Careers page"/>
    <hyperlink ref="F100" r:id="rId99" display="Careers page"/>
    <hyperlink ref="F101" r:id="rId100" display="Careers page"/>
    <hyperlink ref="F102" r:id="rId101" display="Careers page"/>
    <hyperlink ref="F103" r:id="rId102" display="Careers page"/>
    <hyperlink ref="F104" r:id="rId103" display="Careers page"/>
    <hyperlink ref="F105" r:id="rId104" display="Careers page"/>
    <hyperlink ref="F106" r:id="rId105" display="Careers page"/>
    <hyperlink ref="F107" r:id="rId106" display="Careers page"/>
    <hyperlink ref="F108" r:id="rId107" display="Careers page"/>
    <hyperlink ref="F109" r:id="rId108" display="Careers page"/>
    <hyperlink ref="F110" r:id="rId109" display="Careers page"/>
    <hyperlink ref="F111" r:id="rId110" display="Careers p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34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13"/>
    <col collapsed="false" customWidth="true" hidden="false" outlineLevel="0" max="9" min="9" style="1" width="26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40"/>
  </cols>
  <sheetData>
    <row r="1" customFormat="false" ht="30" hidden="false" customHeight="true" outlineLevel="0" collapsed="false">
      <c r="A1" s="8" t="s">
        <v>1044</v>
      </c>
      <c r="B1" s="8" t="s">
        <v>1045</v>
      </c>
      <c r="C1" s="8" t="s">
        <v>1046</v>
      </c>
      <c r="D1" s="8" t="s">
        <v>32</v>
      </c>
      <c r="E1" s="8" t="s">
        <v>1047</v>
      </c>
      <c r="F1" s="8" t="s">
        <v>1048</v>
      </c>
      <c r="G1" s="8" t="s">
        <v>1049</v>
      </c>
      <c r="H1" s="8" t="s">
        <v>1050</v>
      </c>
      <c r="I1" s="8" t="s">
        <v>1051</v>
      </c>
      <c r="J1" s="8" t="s">
        <v>1052</v>
      </c>
      <c r="K1" s="8" t="s">
        <v>1053</v>
      </c>
      <c r="L1" s="8" t="s">
        <v>1054</v>
      </c>
      <c r="M1" s="8" t="s">
        <v>1055</v>
      </c>
      <c r="N1" s="8" t="s">
        <v>47</v>
      </c>
    </row>
    <row r="2" customFormat="false" ht="15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customFormat="false" ht="15" hidden="false" customHeight="true" outlineLevel="0" collapsed="false">
      <c r="A3" s="11" t="s">
        <v>1056</v>
      </c>
      <c r="B3" s="11" t="s">
        <v>1057</v>
      </c>
      <c r="C3" s="11" t="s">
        <v>1058</v>
      </c>
      <c r="D3" s="11" t="s">
        <v>553</v>
      </c>
      <c r="E3" s="11" t="s">
        <v>1059</v>
      </c>
      <c r="F3" s="11" t="s">
        <v>1060</v>
      </c>
      <c r="G3" s="11" t="s">
        <v>1061</v>
      </c>
      <c r="H3" s="11" t="s">
        <v>559</v>
      </c>
      <c r="I3" s="11" t="s">
        <v>1062</v>
      </c>
      <c r="J3" s="11" t="s">
        <v>1063</v>
      </c>
      <c r="K3" s="11"/>
      <c r="L3" s="11" t="s">
        <v>1064</v>
      </c>
      <c r="M3" s="11" t="s">
        <v>1065</v>
      </c>
      <c r="N3" s="11" t="s">
        <v>1066</v>
      </c>
    </row>
    <row r="4" customFormat="false" ht="15" hidden="false" customHeight="tru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customFormat="false" ht="1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customFormat="false" ht="1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1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customFormat="false" ht="1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customFormat="false" ht="1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customFormat="false" ht="1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customFormat="false" ht="1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customFormat="false" ht="1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customFormat="false" ht="1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customFormat="false" ht="1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customFormat="false" ht="1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customFormat="false" ht="1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customFormat="false" ht="1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customFormat="false" ht="1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customFormat="false" ht="15" hidden="false" customHeight="tru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customFormat="false" ht="1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tru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customFormat="false" ht="15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customFormat="false" ht="15" hidden="false" customHeight="tru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customFormat="false" ht="1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customFormat="false" ht="15" hidden="false" customHeight="tru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customFormat="false" ht="15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customFormat="false" ht="15" hidden="false" customHeight="tru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customFormat="false" ht="15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customFormat="false" ht="15" hidden="false" customHeight="tru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customFormat="false" ht="15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customFormat="false" ht="15" hidden="false" customHeight="tru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customFormat="false" ht="1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customFormat="false" ht="1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customFormat="false" ht="1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customFormat="false" ht="15" hidden="false" customHeight="tru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customFormat="false" ht="1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customFormat="false" ht="15" hidden="false" customHeight="tru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customFormat="false" ht="15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customFormat="false" ht="15" hidden="false" customHeight="tru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customFormat="false" ht="15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customFormat="false" ht="15" hidden="false" customHeight="tru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customFormat="false" ht="15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customFormat="false" ht="15" hidden="false" customHeight="tru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customFormat="false" ht="15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customFormat="false" ht="15" hidden="false" customHeight="tru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customFormat="false" ht="15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customFormat="false" ht="15" hidden="false" customHeight="tru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customFormat="false" ht="15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customFormat="false" ht="15" hidden="false" customHeight="tru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customFormat="false" ht="15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customFormat="false" ht="15" hidden="false" customHeight="tru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customFormat="false" ht="15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customFormat="false" ht="15" hidden="false" customHeight="tru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customFormat="false" ht="15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customFormat="false" ht="15" hidden="false" customHeight="tru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customFormat="false" ht="15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customFormat="false" ht="15" hidden="false" customHeight="tru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customFormat="false" ht="15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customFormat="false" ht="15" hidden="false" customHeight="tru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customFormat="false" ht="15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customFormat="false" ht="15" hidden="false" customHeight="tru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customFormat="false" ht="1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customFormat="false" ht="15" hidden="false" customHeight="tru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customFormat="false" ht="15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customFormat="false" ht="1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customFormat="false" ht="1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customFormat="false" ht="15" hidden="false" customHeight="tru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customFormat="false" ht="15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customFormat="false" ht="15" hidden="false" customHeight="tru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customFormat="false" ht="15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customFormat="false" ht="15" hidden="false" customHeight="tru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customFormat="false" ht="15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customFormat="false" ht="15" hidden="false" customHeight="tru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 customFormat="false" ht="15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customFormat="false" ht="15" hidden="false" customHeight="tru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customFormat="false" ht="15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customFormat="false" ht="15" hidden="false" customHeight="tru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customFormat="false" ht="15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customFormat="false" ht="15" hidden="false" customHeight="tru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customFormat="false" ht="15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customFormat="false" ht="15" hidden="false" customHeight="tru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 customFormat="false" ht="15" hidden="false" customHeight="tru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customFormat="false" ht="15" hidden="false" customHeight="tru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customFormat="false" ht="15" hidden="false" customHeight="tru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 customFormat="false" ht="15" hidden="false" customHeight="tru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customFormat="false" ht="15" hidden="false" customHeight="tru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customFormat="false" ht="15" hidden="false" customHeight="tru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customFormat="false" ht="15" hidden="false" customHeight="tru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customFormat="false" ht="15" hidden="false" customHeight="tru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 customFormat="false" ht="15" hidden="false" customHeight="tru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customFormat="false" ht="15" hidden="false" customHeight="tru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customFormat="false" ht="15" hidden="false" customHeight="tru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customFormat="false" ht="15" hidden="false" customHeight="tru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 customFormat="false" ht="15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 customFormat="false" ht="15" hidden="false" customHeight="tru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customFormat="false" ht="15" hidden="false" customHeight="tru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customFormat="false" ht="15" hidden="false" customHeight="tru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customFormat="false" ht="15" hidden="false" customHeight="tru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customFormat="false" ht="15" hidden="false" customHeight="tru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customFormat="false" ht="15" hidden="false" customHeight="tru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customFormat="false" ht="15" hidden="false" customHeight="tru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customFormat="false" ht="15" hidden="false" customHeight="tru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 customFormat="false" ht="15" hidden="false" customHeight="tru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 customFormat="false" ht="15" hidden="false" customHeight="tru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 customFormat="false" ht="15" hidden="false" customHeight="tru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 customFormat="false" ht="15" hidden="false" customHeight="tru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customFormat="false" ht="15" hidden="false" customHeight="tru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 customFormat="false" ht="15" hidden="false" customHeight="tru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 customFormat="false" ht="15" hidden="false" customHeight="tru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 customFormat="false" ht="15" hidden="false" customHeight="tru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 customFormat="false" ht="15" hidden="false" customHeight="tru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 customFormat="false" ht="15" hidden="false" customHeight="tru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 customFormat="false" ht="15" hidden="false" customHeight="tru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 customFormat="false" ht="15" hidden="false" customHeight="tru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 customFormat="false" ht="15" hidden="false" customHeight="tru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</row>
    <row r="150" customFormat="false" ht="15" hidden="false" customHeight="tru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 customFormat="false" ht="15" hidden="false" customHeight="tru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</row>
    <row r="152" customFormat="false" ht="15" hidden="false" customHeight="tru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customFormat="false" ht="15" hidden="false" customHeight="tru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customFormat="false" ht="15" hidden="false" customHeight="tru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 customFormat="false" ht="15" hidden="false" customHeight="tru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</row>
    <row r="156" customFormat="false" ht="15" hidden="false" customHeight="tru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customFormat="false" ht="15" hidden="false" customHeight="tru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customFormat="false" ht="15" hidden="false" customHeight="tru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 customFormat="false" ht="15" hidden="false" customHeight="tru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 customFormat="false" ht="15" hidden="false" customHeight="tru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 customFormat="false" ht="15" hidden="false" customHeight="tru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 customFormat="false" ht="15" hidden="false" customHeight="tru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customFormat="false" ht="15" hidden="false" customHeight="tru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 customFormat="false" ht="15" hidden="false" customHeight="tru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 customFormat="false" ht="15" hidden="false" customHeight="tru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 customFormat="false" ht="15" hidden="false" customHeight="tru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 customFormat="false" ht="15" hidden="false" customHeight="tru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customFormat="false" ht="15" hidden="false" customHeight="tru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 customFormat="false" ht="15" hidden="false" customHeight="tru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 customFormat="false" ht="15" hidden="false" customHeight="tru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 customFormat="false" ht="15" hidden="false" customHeight="tru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</row>
    <row r="172" customFormat="false" ht="15" hidden="false" customHeight="tru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 customFormat="false" ht="15" hidden="false" customHeight="tru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</row>
    <row r="174" customFormat="false" ht="15" hidden="false" customHeight="tru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 customFormat="false" ht="15" hidden="false" customHeight="tru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</row>
    <row r="176" customFormat="false" ht="15" hidden="false" customHeight="tru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 customFormat="false" ht="15" hidden="false" customHeight="tru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</row>
    <row r="178" customFormat="false" ht="15" hidden="false" customHeight="tru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 customFormat="false" ht="15" hidden="false" customHeight="tru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 customFormat="false" ht="15" hidden="false" customHeight="tru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 customFormat="false" ht="15" hidden="false" customHeight="tru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 customFormat="false" ht="15" hidden="false" customHeight="tru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 customFormat="false" ht="15" hidden="false" customHeight="tru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 customFormat="false" ht="15" hidden="false" customHeight="tru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 customFormat="false" ht="15" hidden="false" customHeight="tru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 customFormat="false" ht="15" hidden="false" customHeight="tru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 customFormat="false" ht="15" hidden="false" customHeight="tru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</row>
    <row r="188" customFormat="false" ht="15" hidden="false" customHeight="tru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 customFormat="false" ht="15" hidden="false" customHeight="tru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</row>
    <row r="190" customFormat="false" ht="15" hidden="false" customHeight="tru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 customFormat="false" ht="15" hidden="false" customHeight="tru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 customFormat="false" ht="15" hidden="false" customHeight="tru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 customFormat="false" ht="15" hidden="false" customHeight="tru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 customFormat="false" ht="15" hidden="false" customHeight="tru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 customFormat="false" ht="15" hidden="false" customHeight="tru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 customFormat="false" ht="15" hidden="false" customHeight="tru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 customFormat="false" ht="15" hidden="false" customHeight="tru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</row>
    <row r="198" customFormat="false" ht="15" hidden="false" customHeight="tru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 customFormat="false" ht="15" hidden="false" customHeight="tru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 customFormat="false" ht="15" hidden="false" customHeight="tru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 customFormat="false" ht="15" hidden="false" customHeight="tru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 customFormat="false" ht="15" hidden="false" customHeight="tru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 customFormat="false" ht="15" hidden="false" customHeight="tru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 customFormat="false" ht="15" hidden="false" customHeight="tru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customFormat="false" ht="15" hidden="false" customHeight="tru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 customFormat="false" ht="15" hidden="false" customHeight="tru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 customFormat="false" ht="15" hidden="false" customHeight="tru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 customFormat="false" ht="15" hidden="false" customHeight="tru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 customFormat="false" ht="15" hidden="false" customHeight="tru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 customFormat="false" ht="15" hidden="false" customHeight="tru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 customFormat="false" ht="15" hidden="false" customHeight="tru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 customFormat="false" ht="15" hidden="false" customHeight="tru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 customFormat="false" ht="15" hidden="false" customHeight="tru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 customFormat="false" ht="15" hidden="false" customHeight="tru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 customFormat="false" ht="15" hidden="false" customHeight="tru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 customFormat="false" ht="15" hidden="false" customHeight="tru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 customFormat="false" ht="15" hidden="false" customHeight="tru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 customFormat="false" ht="15" hidden="false" customHeight="tru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 customFormat="false" ht="15" hidden="false" customHeight="tru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</row>
  </sheetData>
  <autoFilter ref="A1:N220"/>
  <dataValidations count="1">
    <dataValidation allowBlank="true" errorStyle="stop" operator="between" showDropDown="false" showErrorMessage="false" showInputMessage="false" sqref="J3:J220" type="list">
      <formula1>"Yes,No,Bounced"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5"/>
  </cols>
  <sheetData>
    <row r="1" customFormat="false" ht="15" hidden="false" customHeight="true" outlineLevel="0" collapsed="false">
      <c r="A1" s="32" t="s">
        <v>1067</v>
      </c>
      <c r="B1" s="3" t="s">
        <v>1068</v>
      </c>
    </row>
    <row r="2" customFormat="false" ht="15" hidden="false" customHeight="true" outlineLevel="0" collapsed="false">
      <c r="A2" s="32" t="s">
        <v>1069</v>
      </c>
      <c r="B2" s="3" t="s">
        <v>1070</v>
      </c>
    </row>
    <row r="3" customFormat="false" ht="15" hidden="false" customHeight="true" outlineLevel="0" collapsed="false">
      <c r="A3" s="32" t="s">
        <v>1071</v>
      </c>
      <c r="B3" s="3" t="s">
        <v>1072</v>
      </c>
    </row>
    <row r="4" customFormat="false" ht="15" hidden="false" customHeight="true" outlineLevel="0" collapsed="false">
      <c r="A4" s="32"/>
      <c r="B4" s="3"/>
    </row>
    <row r="5" customFormat="false" ht="26.25" hidden="false" customHeight="true" outlineLevel="0" collapsed="false">
      <c r="A5" s="5" t="s">
        <v>1073</v>
      </c>
      <c r="B5" s="3"/>
    </row>
    <row r="6" customFormat="false" ht="34.5" hidden="false" customHeight="true" outlineLevel="0" collapsed="false">
      <c r="A6" s="32" t="s">
        <v>1074</v>
      </c>
      <c r="B6" s="3" t="s">
        <v>1075</v>
      </c>
    </row>
    <row r="7" customFormat="false" ht="23.25" hidden="false" customHeight="true" outlineLevel="0" collapsed="false">
      <c r="A7" s="32" t="s">
        <v>1076</v>
      </c>
      <c r="B7" s="3" t="s">
        <v>1077</v>
      </c>
    </row>
    <row r="8" customFormat="false" ht="23.25" hidden="false" customHeight="true" outlineLevel="0" collapsed="false">
      <c r="A8" s="32" t="s">
        <v>1078</v>
      </c>
      <c r="B8" s="3" t="s">
        <v>1079</v>
      </c>
    </row>
    <row r="9" customFormat="false" ht="15" hidden="false" customHeight="true" outlineLevel="0" collapsed="false">
      <c r="A9" s="32" t="s">
        <v>1080</v>
      </c>
      <c r="B9" s="3" t="s">
        <v>1081</v>
      </c>
    </row>
    <row r="10" customFormat="false" ht="15" hidden="false" customHeight="true" outlineLevel="0" collapsed="false">
      <c r="A10" s="32" t="s">
        <v>1082</v>
      </c>
      <c r="B10" s="3" t="s">
        <v>1083</v>
      </c>
    </row>
    <row r="11" customFormat="false" ht="15" hidden="false" customHeight="true" outlineLevel="0" collapsed="false">
      <c r="A11" s="32" t="s">
        <v>1084</v>
      </c>
      <c r="B11" s="3" t="s">
        <v>1085</v>
      </c>
    </row>
    <row r="12" customFormat="false" ht="15" hidden="false" customHeight="true" outlineLevel="0" collapsed="false">
      <c r="A12" s="32"/>
      <c r="B12" s="3"/>
    </row>
    <row r="13" customFormat="false" ht="15" hidden="false" customHeight="true" outlineLevel="0" collapsed="false">
      <c r="A13" s="5" t="s">
        <v>1086</v>
      </c>
      <c r="B13" s="3"/>
    </row>
    <row r="14" customFormat="false" ht="15" hidden="false" customHeight="true" outlineLevel="0" collapsed="false">
      <c r="A14" s="32" t="s">
        <v>1087</v>
      </c>
      <c r="B14" s="3" t="s">
        <v>1088</v>
      </c>
    </row>
    <row r="15" customFormat="false" ht="23.25" hidden="false" customHeight="true" outlineLevel="0" collapsed="false">
      <c r="A15" s="32" t="s">
        <v>1089</v>
      </c>
      <c r="B15" s="3" t="s">
        <v>1090</v>
      </c>
    </row>
    <row r="16" customFormat="false" ht="23.25" hidden="false" customHeight="true" outlineLevel="0" collapsed="false">
      <c r="A16" s="32" t="s">
        <v>1091</v>
      </c>
      <c r="B16" s="3" t="s">
        <v>1092</v>
      </c>
    </row>
    <row r="17" customFormat="false" ht="15" hidden="false" customHeight="true" outlineLevel="0" collapsed="false">
      <c r="A17" s="32"/>
      <c r="B17" s="3"/>
    </row>
    <row r="18" customFormat="false" ht="15" hidden="false" customHeight="true" outlineLevel="0" collapsed="false">
      <c r="A18" s="32" t="s">
        <v>1093</v>
      </c>
      <c r="B18" s="3"/>
    </row>
    <row r="19" customFormat="false" ht="15" hidden="false" customHeight="true" outlineLevel="0" collapsed="false">
      <c r="A19" s="5" t="s">
        <v>1094</v>
      </c>
      <c r="B19" s="3" t="s">
        <v>1095</v>
      </c>
    </row>
    <row r="20" customFormat="false" ht="15" hidden="false" customHeight="true" outlineLevel="0" collapsed="false">
      <c r="A20" s="32" t="s">
        <v>1096</v>
      </c>
      <c r="B20" s="3" t="s">
        <v>1097</v>
      </c>
    </row>
    <row r="21" customFormat="false" ht="23.25" hidden="false" customHeight="true" outlineLevel="0" collapsed="false">
      <c r="A21" s="32" t="s">
        <v>1098</v>
      </c>
      <c r="B21" s="3" t="s">
        <v>1099</v>
      </c>
    </row>
    <row r="22" customFormat="false" ht="23.25" hidden="false" customHeight="true" outlineLevel="0" collapsed="false">
      <c r="A22" s="32" t="s">
        <v>1100</v>
      </c>
      <c r="B22" s="3" t="s">
        <v>1101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0"/>
  </cols>
  <sheetData>
    <row r="1" customFormat="false" ht="30" hidden="false" customHeight="true" outlineLevel="0" collapsed="false">
      <c r="A1" s="8" t="s">
        <v>1102</v>
      </c>
      <c r="B1" s="8" t="s">
        <v>1103</v>
      </c>
    </row>
    <row r="2" customFormat="false" ht="15" hidden="false" customHeight="true" outlineLevel="0" collapsed="false">
      <c r="A2" s="32"/>
      <c r="B2" s="3"/>
    </row>
    <row r="3" customFormat="false" ht="15" hidden="false" customHeight="true" outlineLevel="0" collapsed="false">
      <c r="A3" s="32" t="s">
        <v>1104</v>
      </c>
      <c r="B3" s="3" t="s">
        <v>1105</v>
      </c>
    </row>
    <row r="4" customFormat="false" ht="15" hidden="false" customHeight="true" outlineLevel="0" collapsed="false">
      <c r="A4" s="32" t="s">
        <v>1106</v>
      </c>
      <c r="B4" s="3" t="s">
        <v>1107</v>
      </c>
    </row>
    <row r="5" customFormat="false" ht="15" hidden="false" customHeight="true" outlineLevel="0" collapsed="false">
      <c r="A5" s="32" t="s">
        <v>1108</v>
      </c>
      <c r="B5" s="3" t="s">
        <v>1109</v>
      </c>
    </row>
    <row r="6" customFormat="false" ht="23.25" hidden="false" customHeight="true" outlineLevel="0" collapsed="false">
      <c r="A6" s="32" t="s">
        <v>1110</v>
      </c>
      <c r="B6" s="3" t="s">
        <v>1111</v>
      </c>
    </row>
    <row r="7" customFormat="false" ht="15" hidden="false" customHeight="true" outlineLevel="0" collapsed="false">
      <c r="A7" s="32" t="s">
        <v>1112</v>
      </c>
      <c r="B7" s="3" t="s">
        <v>1113</v>
      </c>
    </row>
    <row r="8" customFormat="false" ht="15" hidden="false" customHeight="true" outlineLevel="0" collapsed="false">
      <c r="A8" s="32"/>
      <c r="B8" s="3"/>
    </row>
    <row r="9" customFormat="false" ht="23.25" hidden="false" customHeight="true" outlineLevel="0" collapsed="false">
      <c r="A9" s="32" t="s">
        <v>1114</v>
      </c>
      <c r="B9" s="3" t="s">
        <v>1115</v>
      </c>
    </row>
    <row r="10" customFormat="false" ht="23.25" hidden="false" customHeight="true" outlineLevel="0" collapsed="false">
      <c r="A10" s="32" t="s">
        <v>1116</v>
      </c>
      <c r="B10" s="3" t="s">
        <v>1117</v>
      </c>
    </row>
    <row r="11" customFormat="false" ht="15" hidden="false" customHeight="true" outlineLevel="0" collapsed="false">
      <c r="A11" s="32"/>
      <c r="B11" s="3"/>
    </row>
    <row r="12" customFormat="false" ht="34.5" hidden="false" customHeight="true" outlineLevel="0" collapsed="false">
      <c r="A12" s="32" t="s">
        <v>1118</v>
      </c>
      <c r="B12" s="3" t="s">
        <v>1119</v>
      </c>
    </row>
    <row r="13" customFormat="false" ht="15" hidden="false" customHeight="true" outlineLevel="0" collapsed="false">
      <c r="A13" s="32"/>
      <c r="B13" s="3"/>
    </row>
    <row r="14" customFormat="false" ht="15" hidden="false" customHeight="true" outlineLevel="0" collapsed="false">
      <c r="A14" s="32" t="s">
        <v>1120</v>
      </c>
      <c r="B14" s="3"/>
    </row>
    <row r="15" customFormat="false" ht="34.5" hidden="false" customHeight="true" outlineLevel="0" collapsed="false">
      <c r="A15" s="32" t="s">
        <v>1121</v>
      </c>
      <c r="B15" s="3" t="s">
        <v>1122</v>
      </c>
    </row>
    <row r="16" customFormat="false" ht="15" hidden="false" customHeight="true" outlineLevel="0" collapsed="false">
      <c r="A16" s="32" t="s">
        <v>293</v>
      </c>
      <c r="B16" s="3" t="s">
        <v>1123</v>
      </c>
    </row>
    <row r="17" customFormat="false" ht="15" hidden="false" customHeight="true" outlineLevel="0" collapsed="false">
      <c r="A17" s="32" t="s">
        <v>206</v>
      </c>
      <c r="B17" s="3" t="s">
        <v>1124</v>
      </c>
    </row>
    <row r="18" customFormat="false" ht="15" hidden="false" customHeight="true" outlineLevel="0" collapsed="false">
      <c r="A18" s="32" t="s">
        <v>1125</v>
      </c>
      <c r="B18" s="3" t="s">
        <v>1126</v>
      </c>
    </row>
    <row r="19" customFormat="false" ht="15" hidden="false" customHeight="true" outlineLevel="0" collapsed="false">
      <c r="A19" s="32" t="s">
        <v>1127</v>
      </c>
      <c r="B19" s="3" t="s">
        <v>1128</v>
      </c>
    </row>
    <row r="20" customFormat="false" ht="15" hidden="false" customHeight="true" outlineLevel="0" collapsed="false">
      <c r="A20" s="32" t="s">
        <v>1129</v>
      </c>
      <c r="B20" s="3" t="s">
        <v>1130</v>
      </c>
    </row>
    <row r="21" customFormat="false" ht="15" hidden="false" customHeight="true" outlineLevel="0" collapsed="false">
      <c r="A21" s="32"/>
      <c r="B21" s="3"/>
    </row>
    <row r="22" customFormat="false" ht="23.25" hidden="false" customHeight="true" outlineLevel="0" collapsed="false">
      <c r="A22" s="32" t="s">
        <v>1131</v>
      </c>
      <c r="B22" s="3" t="s">
        <v>1132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2026-08-28T13:53:34Z</dcterms:created>
  <dc:creator>openpyxl</dc:creator>
  <dc:description/>
  <dc:language>en-US</dc:language>
  <cp:lastModifiedBy/>
  <dcterms:modified xsi:type="dcterms:W3CDTF">2026-08-28T16:00:05Z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